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mysite.jci.com/personal/czhengto_jci_com/Documents/Work Folder/01-AS Solution/21- Project Inquiry/06 Sakura Project/02 Communication/PUE Simulation/"/>
    </mc:Choice>
  </mc:AlternateContent>
  <xr:revisionPtr revIDLastSave="1" documentId="11_1D3442AC8D9BCAC6A4B71E8B2441437CE3B07067" xr6:coauthVersionLast="47" xr6:coauthVersionMax="47" xr10:uidLastSave="{4C225CA0-7481-4409-8142-B13BCBEC0B80}"/>
  <bookViews>
    <workbookView xWindow="-108" yWindow="-108" windowWidth="23256" windowHeight="13896" xr2:uid="{00000000-000D-0000-FFFF-FFFF00000000}"/>
  </bookViews>
  <sheets>
    <sheet name="YVAM Annual Estimate@25-17" sheetId="2" r:id="rId1"/>
    <sheet name="YVAM chiller load reference " sheetId="5" r:id="rId2"/>
    <sheet name="YVAM Annual Estimate @33-25" sheetId="4" r:id="rId3"/>
    <sheet name="YVAM chiller load reference" sheetId="3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" i="4" l="1"/>
  <c r="AA23" i="4"/>
  <c r="AB23" i="4" s="1"/>
  <c r="AA24" i="4"/>
  <c r="AB24" i="4" s="1"/>
  <c r="AA25" i="4"/>
  <c r="AB25" i="4" s="1"/>
  <c r="AA26" i="4"/>
  <c r="AB26" i="4" s="1"/>
  <c r="AA27" i="4"/>
  <c r="AB27" i="4" s="1"/>
  <c r="Z25" i="4"/>
  <c r="Z26" i="4"/>
  <c r="Z27" i="4"/>
  <c r="V25" i="4"/>
  <c r="V26" i="4"/>
  <c r="V27" i="4"/>
  <c r="P25" i="4"/>
  <c r="P26" i="4"/>
  <c r="P27" i="4"/>
  <c r="T25" i="4"/>
  <c r="T26" i="4"/>
  <c r="T27" i="4"/>
  <c r="L25" i="4"/>
  <c r="L26" i="4"/>
  <c r="L27" i="4"/>
  <c r="R25" i="4"/>
  <c r="R26" i="4"/>
  <c r="R27" i="4"/>
  <c r="J25" i="4"/>
  <c r="J26" i="4"/>
  <c r="J27" i="4"/>
  <c r="H25" i="4"/>
  <c r="H26" i="4"/>
  <c r="H27" i="4"/>
  <c r="AG24" i="2"/>
  <c r="AG27" i="2"/>
  <c r="AH27" i="2" s="1"/>
  <c r="AG26" i="2"/>
  <c r="AH26" i="2" s="1"/>
  <c r="AG25" i="2"/>
  <c r="AH25" i="2" s="1"/>
  <c r="AH24" i="2"/>
  <c r="AF25" i="2"/>
  <c r="AF26" i="2"/>
  <c r="AF27" i="2"/>
  <c r="AB25" i="2"/>
  <c r="AB26" i="2"/>
  <c r="AB27" i="2"/>
  <c r="X25" i="2"/>
  <c r="X26" i="2"/>
  <c r="X27" i="2"/>
  <c r="T25" i="2"/>
  <c r="T26" i="2"/>
  <c r="T27" i="2"/>
  <c r="P25" i="2"/>
  <c r="P26" i="2"/>
  <c r="P27" i="2"/>
  <c r="L25" i="2"/>
  <c r="L26" i="2"/>
  <c r="L27" i="2"/>
  <c r="J25" i="2"/>
  <c r="J26" i="2"/>
  <c r="J27" i="2"/>
  <c r="H25" i="2"/>
  <c r="H26" i="2"/>
  <c r="H27" i="2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7" i="2"/>
  <c r="B6" i="2"/>
  <c r="B5" i="2" s="1"/>
  <c r="F27" i="2"/>
  <c r="F26" i="2"/>
  <c r="F25" i="2"/>
  <c r="D28" i="2"/>
  <c r="AF24" i="2"/>
  <c r="AC24" i="2"/>
  <c r="AD24" i="2" s="1"/>
  <c r="AB24" i="2"/>
  <c r="Y24" i="2"/>
  <c r="Z24" i="2" s="1"/>
  <c r="X24" i="2"/>
  <c r="U24" i="2"/>
  <c r="V24" i="2" s="1"/>
  <c r="T24" i="2"/>
  <c r="Q24" i="2"/>
  <c r="R24" i="2" s="1"/>
  <c r="P24" i="2"/>
  <c r="M24" i="2"/>
  <c r="N24" i="2" s="1"/>
  <c r="L24" i="2"/>
  <c r="J24" i="2"/>
  <c r="H24" i="2"/>
  <c r="F24" i="2"/>
  <c r="AG23" i="2"/>
  <c r="AH23" i="2" s="1"/>
  <c r="AE23" i="2"/>
  <c r="AF23" i="2" s="1"/>
  <c r="AC23" i="2"/>
  <c r="AD23" i="2" s="1"/>
  <c r="AA23" i="2"/>
  <c r="AB23" i="2" s="1"/>
  <c r="Y23" i="2"/>
  <c r="Z23" i="2" s="1"/>
  <c r="W23" i="2"/>
  <c r="X23" i="2" s="1"/>
  <c r="U23" i="2"/>
  <c r="V23" i="2" s="1"/>
  <c r="S23" i="2"/>
  <c r="T23" i="2" s="1"/>
  <c r="R23" i="2"/>
  <c r="Q23" i="2"/>
  <c r="O23" i="2"/>
  <c r="P23" i="2" s="1"/>
  <c r="M23" i="2"/>
  <c r="N23" i="2" s="1"/>
  <c r="K23" i="2"/>
  <c r="L23" i="2" s="1"/>
  <c r="I23" i="2"/>
  <c r="J23" i="2" s="1"/>
  <c r="G23" i="2"/>
  <c r="H23" i="2" s="1"/>
  <c r="E23" i="2"/>
  <c r="F23" i="2" s="1"/>
  <c r="AG22" i="2"/>
  <c r="AH22" i="2" s="1"/>
  <c r="AE22" i="2"/>
  <c r="AF22" i="2" s="1"/>
  <c r="AC22" i="2"/>
  <c r="AD22" i="2" s="1"/>
  <c r="AA22" i="2"/>
  <c r="AB22" i="2" s="1"/>
  <c r="Y22" i="2"/>
  <c r="Z22" i="2" s="1"/>
  <c r="W22" i="2"/>
  <c r="X22" i="2" s="1"/>
  <c r="U22" i="2"/>
  <c r="V22" i="2" s="1"/>
  <c r="S22" i="2"/>
  <c r="T22" i="2" s="1"/>
  <c r="Q22" i="2"/>
  <c r="R22" i="2" s="1"/>
  <c r="O22" i="2"/>
  <c r="P22" i="2" s="1"/>
  <c r="M22" i="2"/>
  <c r="N22" i="2" s="1"/>
  <c r="K22" i="2"/>
  <c r="L22" i="2" s="1"/>
  <c r="I22" i="2"/>
  <c r="J22" i="2" s="1"/>
  <c r="G22" i="2"/>
  <c r="H22" i="2" s="1"/>
  <c r="E22" i="2"/>
  <c r="F22" i="2" s="1"/>
  <c r="AG21" i="2"/>
  <c r="AH21" i="2" s="1"/>
  <c r="AE21" i="2"/>
  <c r="AF21" i="2" s="1"/>
  <c r="AC21" i="2"/>
  <c r="AD21" i="2" s="1"/>
  <c r="AA21" i="2"/>
  <c r="AB21" i="2" s="1"/>
  <c r="Y21" i="2"/>
  <c r="Z21" i="2" s="1"/>
  <c r="W21" i="2"/>
  <c r="X21" i="2" s="1"/>
  <c r="U21" i="2"/>
  <c r="V21" i="2" s="1"/>
  <c r="S21" i="2"/>
  <c r="T21" i="2" s="1"/>
  <c r="Q21" i="2"/>
  <c r="R21" i="2" s="1"/>
  <c r="O21" i="2"/>
  <c r="P21" i="2" s="1"/>
  <c r="M21" i="2"/>
  <c r="N21" i="2" s="1"/>
  <c r="K21" i="2"/>
  <c r="L21" i="2" s="1"/>
  <c r="I21" i="2"/>
  <c r="J21" i="2" s="1"/>
  <c r="G21" i="2"/>
  <c r="H21" i="2" s="1"/>
  <c r="E21" i="2"/>
  <c r="F21" i="2" s="1"/>
  <c r="AG20" i="2"/>
  <c r="AH20" i="2" s="1"/>
  <c r="AE20" i="2"/>
  <c r="AF20" i="2" s="1"/>
  <c r="AC20" i="2"/>
  <c r="AD20" i="2" s="1"/>
  <c r="AA20" i="2"/>
  <c r="AB20" i="2" s="1"/>
  <c r="Y20" i="2"/>
  <c r="Z20" i="2" s="1"/>
  <c r="W20" i="2"/>
  <c r="X20" i="2" s="1"/>
  <c r="U20" i="2"/>
  <c r="V20" i="2" s="1"/>
  <c r="S20" i="2"/>
  <c r="T20" i="2" s="1"/>
  <c r="Q20" i="2"/>
  <c r="R20" i="2" s="1"/>
  <c r="O20" i="2"/>
  <c r="P20" i="2" s="1"/>
  <c r="M20" i="2"/>
  <c r="N20" i="2" s="1"/>
  <c r="K20" i="2"/>
  <c r="L20" i="2" s="1"/>
  <c r="I20" i="2"/>
  <c r="J20" i="2" s="1"/>
  <c r="G20" i="2"/>
  <c r="H20" i="2" s="1"/>
  <c r="E20" i="2"/>
  <c r="F20" i="2" s="1"/>
  <c r="AG19" i="2"/>
  <c r="AH19" i="2" s="1"/>
  <c r="AE19" i="2"/>
  <c r="AF19" i="2" s="1"/>
  <c r="AC19" i="2"/>
  <c r="AD19" i="2" s="1"/>
  <c r="AA19" i="2"/>
  <c r="AB19" i="2" s="1"/>
  <c r="Y19" i="2"/>
  <c r="Z19" i="2" s="1"/>
  <c r="W19" i="2"/>
  <c r="X19" i="2" s="1"/>
  <c r="U19" i="2"/>
  <c r="V19" i="2" s="1"/>
  <c r="S19" i="2"/>
  <c r="T19" i="2" s="1"/>
  <c r="Q19" i="2"/>
  <c r="R19" i="2" s="1"/>
  <c r="O19" i="2"/>
  <c r="P19" i="2" s="1"/>
  <c r="M19" i="2"/>
  <c r="N19" i="2" s="1"/>
  <c r="K19" i="2"/>
  <c r="L19" i="2" s="1"/>
  <c r="I19" i="2"/>
  <c r="J19" i="2" s="1"/>
  <c r="G19" i="2"/>
  <c r="H19" i="2" s="1"/>
  <c r="E19" i="2"/>
  <c r="F19" i="2" s="1"/>
  <c r="AG18" i="2"/>
  <c r="AH18" i="2" s="1"/>
  <c r="AE18" i="2"/>
  <c r="AF18" i="2" s="1"/>
  <c r="AC18" i="2"/>
  <c r="AD18" i="2" s="1"/>
  <c r="AA18" i="2"/>
  <c r="AB18" i="2" s="1"/>
  <c r="Y18" i="2"/>
  <c r="Z18" i="2" s="1"/>
  <c r="W18" i="2"/>
  <c r="X18" i="2" s="1"/>
  <c r="U18" i="2"/>
  <c r="V18" i="2" s="1"/>
  <c r="S18" i="2"/>
  <c r="T18" i="2" s="1"/>
  <c r="Q18" i="2"/>
  <c r="R18" i="2" s="1"/>
  <c r="O18" i="2"/>
  <c r="P18" i="2" s="1"/>
  <c r="M18" i="2"/>
  <c r="N18" i="2" s="1"/>
  <c r="K18" i="2"/>
  <c r="L18" i="2" s="1"/>
  <c r="I18" i="2"/>
  <c r="J18" i="2" s="1"/>
  <c r="G18" i="2"/>
  <c r="H18" i="2" s="1"/>
  <c r="E18" i="2"/>
  <c r="F18" i="2" s="1"/>
  <c r="AG17" i="2"/>
  <c r="AH17" i="2" s="1"/>
  <c r="AE17" i="2"/>
  <c r="AF17" i="2" s="1"/>
  <c r="AC17" i="2"/>
  <c r="AD17" i="2" s="1"/>
  <c r="AA17" i="2"/>
  <c r="AB17" i="2" s="1"/>
  <c r="Y17" i="2"/>
  <c r="Z17" i="2" s="1"/>
  <c r="X17" i="2"/>
  <c r="W17" i="2"/>
  <c r="U17" i="2"/>
  <c r="V17" i="2" s="1"/>
  <c r="S17" i="2"/>
  <c r="T17" i="2" s="1"/>
  <c r="Q17" i="2"/>
  <c r="R17" i="2" s="1"/>
  <c r="O17" i="2"/>
  <c r="P17" i="2" s="1"/>
  <c r="M17" i="2"/>
  <c r="N17" i="2" s="1"/>
  <c r="K17" i="2"/>
  <c r="L17" i="2" s="1"/>
  <c r="I17" i="2"/>
  <c r="J17" i="2" s="1"/>
  <c r="G17" i="2"/>
  <c r="H17" i="2" s="1"/>
  <c r="E17" i="2"/>
  <c r="F17" i="2" s="1"/>
  <c r="AG16" i="2"/>
  <c r="AH16" i="2" s="1"/>
  <c r="AE16" i="2"/>
  <c r="AF16" i="2" s="1"/>
  <c r="AC16" i="2"/>
  <c r="AD16" i="2" s="1"/>
  <c r="AA16" i="2"/>
  <c r="AB16" i="2" s="1"/>
  <c r="Y16" i="2"/>
  <c r="Z16" i="2" s="1"/>
  <c r="W16" i="2"/>
  <c r="X16" i="2" s="1"/>
  <c r="U16" i="2"/>
  <c r="V16" i="2" s="1"/>
  <c r="S16" i="2"/>
  <c r="T16" i="2" s="1"/>
  <c r="Q16" i="2"/>
  <c r="R16" i="2" s="1"/>
  <c r="O16" i="2"/>
  <c r="P16" i="2" s="1"/>
  <c r="M16" i="2"/>
  <c r="N16" i="2" s="1"/>
  <c r="K16" i="2"/>
  <c r="L16" i="2" s="1"/>
  <c r="I16" i="2"/>
  <c r="J16" i="2" s="1"/>
  <c r="G16" i="2"/>
  <c r="H16" i="2" s="1"/>
  <c r="E16" i="2"/>
  <c r="F16" i="2" s="1"/>
  <c r="AG15" i="2"/>
  <c r="AH15" i="2" s="1"/>
  <c r="AE15" i="2"/>
  <c r="AF15" i="2" s="1"/>
  <c r="AC15" i="2"/>
  <c r="AD15" i="2" s="1"/>
  <c r="AA15" i="2"/>
  <c r="AB15" i="2" s="1"/>
  <c r="Y15" i="2"/>
  <c r="Z15" i="2" s="1"/>
  <c r="W15" i="2"/>
  <c r="X15" i="2" s="1"/>
  <c r="U15" i="2"/>
  <c r="V15" i="2" s="1"/>
  <c r="S15" i="2"/>
  <c r="T15" i="2" s="1"/>
  <c r="Q15" i="2"/>
  <c r="R15" i="2" s="1"/>
  <c r="O15" i="2"/>
  <c r="P15" i="2" s="1"/>
  <c r="M15" i="2"/>
  <c r="N15" i="2" s="1"/>
  <c r="K15" i="2"/>
  <c r="L15" i="2" s="1"/>
  <c r="I15" i="2"/>
  <c r="J15" i="2" s="1"/>
  <c r="G15" i="2"/>
  <c r="H15" i="2" s="1"/>
  <c r="E15" i="2"/>
  <c r="F15" i="2" s="1"/>
  <c r="AG14" i="2"/>
  <c r="AH14" i="2" s="1"/>
  <c r="AE14" i="2"/>
  <c r="AF14" i="2" s="1"/>
  <c r="AC14" i="2"/>
  <c r="AD14" i="2" s="1"/>
  <c r="AA14" i="2"/>
  <c r="AB14" i="2" s="1"/>
  <c r="Y14" i="2"/>
  <c r="Z14" i="2" s="1"/>
  <c r="W14" i="2"/>
  <c r="X14" i="2" s="1"/>
  <c r="U14" i="2"/>
  <c r="V14" i="2" s="1"/>
  <c r="S14" i="2"/>
  <c r="T14" i="2" s="1"/>
  <c r="Q14" i="2"/>
  <c r="R14" i="2" s="1"/>
  <c r="O14" i="2"/>
  <c r="P14" i="2" s="1"/>
  <c r="M14" i="2"/>
  <c r="N14" i="2" s="1"/>
  <c r="K14" i="2"/>
  <c r="L14" i="2" s="1"/>
  <c r="I14" i="2"/>
  <c r="J14" i="2" s="1"/>
  <c r="G14" i="2"/>
  <c r="H14" i="2" s="1"/>
  <c r="E14" i="2"/>
  <c r="F14" i="2" s="1"/>
  <c r="AG13" i="2"/>
  <c r="AH13" i="2" s="1"/>
  <c r="AE13" i="2"/>
  <c r="AF13" i="2" s="1"/>
  <c r="AC13" i="2"/>
  <c r="AD13" i="2" s="1"/>
  <c r="AA13" i="2"/>
  <c r="AB13" i="2" s="1"/>
  <c r="Y13" i="2"/>
  <c r="Z13" i="2" s="1"/>
  <c r="W13" i="2"/>
  <c r="X13" i="2" s="1"/>
  <c r="U13" i="2"/>
  <c r="V13" i="2" s="1"/>
  <c r="S13" i="2"/>
  <c r="T13" i="2" s="1"/>
  <c r="Q13" i="2"/>
  <c r="R13" i="2" s="1"/>
  <c r="O13" i="2"/>
  <c r="P13" i="2" s="1"/>
  <c r="M13" i="2"/>
  <c r="N13" i="2" s="1"/>
  <c r="K13" i="2"/>
  <c r="L13" i="2" s="1"/>
  <c r="I13" i="2"/>
  <c r="J13" i="2" s="1"/>
  <c r="G13" i="2"/>
  <c r="H13" i="2" s="1"/>
  <c r="E13" i="2"/>
  <c r="F13" i="2" s="1"/>
  <c r="AG12" i="2"/>
  <c r="AH12" i="2" s="1"/>
  <c r="AE12" i="2"/>
  <c r="AF12" i="2" s="1"/>
  <c r="AC12" i="2"/>
  <c r="AD12" i="2" s="1"/>
  <c r="AA12" i="2"/>
  <c r="AB12" i="2" s="1"/>
  <c r="Y12" i="2"/>
  <c r="Z12" i="2" s="1"/>
  <c r="W12" i="2"/>
  <c r="X12" i="2" s="1"/>
  <c r="U12" i="2"/>
  <c r="V12" i="2" s="1"/>
  <c r="S12" i="2"/>
  <c r="T12" i="2" s="1"/>
  <c r="Q12" i="2"/>
  <c r="R12" i="2" s="1"/>
  <c r="O12" i="2"/>
  <c r="P12" i="2" s="1"/>
  <c r="M12" i="2"/>
  <c r="N12" i="2" s="1"/>
  <c r="K12" i="2"/>
  <c r="L12" i="2" s="1"/>
  <c r="I12" i="2"/>
  <c r="J12" i="2" s="1"/>
  <c r="G12" i="2"/>
  <c r="H12" i="2" s="1"/>
  <c r="E12" i="2"/>
  <c r="F12" i="2" s="1"/>
  <c r="AG11" i="2"/>
  <c r="AH11" i="2" s="1"/>
  <c r="AE11" i="2"/>
  <c r="AF11" i="2" s="1"/>
  <c r="AC11" i="2"/>
  <c r="AD11" i="2" s="1"/>
  <c r="AA11" i="2"/>
  <c r="AB11" i="2" s="1"/>
  <c r="Y11" i="2"/>
  <c r="Z11" i="2" s="1"/>
  <c r="W11" i="2"/>
  <c r="X11" i="2" s="1"/>
  <c r="U11" i="2"/>
  <c r="V11" i="2" s="1"/>
  <c r="S11" i="2"/>
  <c r="T11" i="2" s="1"/>
  <c r="Q11" i="2"/>
  <c r="R11" i="2" s="1"/>
  <c r="O11" i="2"/>
  <c r="P11" i="2" s="1"/>
  <c r="M11" i="2"/>
  <c r="N11" i="2" s="1"/>
  <c r="K11" i="2"/>
  <c r="L11" i="2" s="1"/>
  <c r="I11" i="2"/>
  <c r="J11" i="2" s="1"/>
  <c r="G11" i="2"/>
  <c r="H11" i="2" s="1"/>
  <c r="E11" i="2"/>
  <c r="F11" i="2" s="1"/>
  <c r="AG10" i="2"/>
  <c r="AH10" i="2" s="1"/>
  <c r="AE10" i="2"/>
  <c r="AF10" i="2" s="1"/>
  <c r="AC10" i="2"/>
  <c r="AD10" i="2" s="1"/>
  <c r="AA10" i="2"/>
  <c r="AB10" i="2" s="1"/>
  <c r="Y10" i="2"/>
  <c r="Z10" i="2" s="1"/>
  <c r="W10" i="2"/>
  <c r="X10" i="2" s="1"/>
  <c r="U10" i="2"/>
  <c r="V10" i="2" s="1"/>
  <c r="S10" i="2"/>
  <c r="T10" i="2" s="1"/>
  <c r="Q10" i="2"/>
  <c r="R10" i="2" s="1"/>
  <c r="O10" i="2"/>
  <c r="P10" i="2" s="1"/>
  <c r="M10" i="2"/>
  <c r="N10" i="2" s="1"/>
  <c r="K10" i="2"/>
  <c r="L10" i="2" s="1"/>
  <c r="I10" i="2"/>
  <c r="J10" i="2" s="1"/>
  <c r="G10" i="2"/>
  <c r="H10" i="2" s="1"/>
  <c r="E10" i="2"/>
  <c r="F10" i="2" s="1"/>
  <c r="AG9" i="2"/>
  <c r="AH9" i="2" s="1"/>
  <c r="AE9" i="2"/>
  <c r="AF9" i="2" s="1"/>
  <c r="AC9" i="2"/>
  <c r="AD9" i="2" s="1"/>
  <c r="AA9" i="2"/>
  <c r="AB9" i="2" s="1"/>
  <c r="Y9" i="2"/>
  <c r="Z9" i="2" s="1"/>
  <c r="W9" i="2"/>
  <c r="X9" i="2" s="1"/>
  <c r="U9" i="2"/>
  <c r="V9" i="2" s="1"/>
  <c r="S9" i="2"/>
  <c r="T9" i="2" s="1"/>
  <c r="Q9" i="2"/>
  <c r="R9" i="2" s="1"/>
  <c r="O9" i="2"/>
  <c r="P9" i="2" s="1"/>
  <c r="M9" i="2"/>
  <c r="N9" i="2" s="1"/>
  <c r="K9" i="2"/>
  <c r="L9" i="2" s="1"/>
  <c r="I9" i="2"/>
  <c r="J9" i="2" s="1"/>
  <c r="G9" i="2"/>
  <c r="H9" i="2" s="1"/>
  <c r="E9" i="2"/>
  <c r="F9" i="2" s="1"/>
  <c r="AG8" i="2"/>
  <c r="AH8" i="2" s="1"/>
  <c r="AE8" i="2"/>
  <c r="AF8" i="2" s="1"/>
  <c r="AC8" i="2"/>
  <c r="AD8" i="2" s="1"/>
  <c r="AA8" i="2"/>
  <c r="AB8" i="2" s="1"/>
  <c r="Y8" i="2"/>
  <c r="Z8" i="2" s="1"/>
  <c r="W8" i="2"/>
  <c r="X8" i="2" s="1"/>
  <c r="U8" i="2"/>
  <c r="V8" i="2" s="1"/>
  <c r="S8" i="2"/>
  <c r="T8" i="2" s="1"/>
  <c r="Q8" i="2"/>
  <c r="R8" i="2" s="1"/>
  <c r="O8" i="2"/>
  <c r="P8" i="2" s="1"/>
  <c r="M8" i="2"/>
  <c r="N8" i="2" s="1"/>
  <c r="K8" i="2"/>
  <c r="L8" i="2" s="1"/>
  <c r="I8" i="2"/>
  <c r="J8" i="2" s="1"/>
  <c r="G8" i="2"/>
  <c r="H8" i="2" s="1"/>
  <c r="E8" i="2"/>
  <c r="F8" i="2" s="1"/>
  <c r="AG7" i="2"/>
  <c r="AH7" i="2" s="1"/>
  <c r="AE7" i="2"/>
  <c r="AF7" i="2" s="1"/>
  <c r="AC7" i="2"/>
  <c r="AD7" i="2" s="1"/>
  <c r="AA7" i="2"/>
  <c r="AB7" i="2" s="1"/>
  <c r="Y7" i="2"/>
  <c r="Z7" i="2" s="1"/>
  <c r="W7" i="2"/>
  <c r="X7" i="2" s="1"/>
  <c r="U7" i="2"/>
  <c r="V7" i="2" s="1"/>
  <c r="S7" i="2"/>
  <c r="T7" i="2" s="1"/>
  <c r="Q7" i="2"/>
  <c r="R7" i="2" s="1"/>
  <c r="O7" i="2"/>
  <c r="P7" i="2" s="1"/>
  <c r="M7" i="2"/>
  <c r="N7" i="2" s="1"/>
  <c r="K7" i="2"/>
  <c r="L7" i="2" s="1"/>
  <c r="I7" i="2"/>
  <c r="J7" i="2" s="1"/>
  <c r="G7" i="2"/>
  <c r="H7" i="2" s="1"/>
  <c r="E7" i="2"/>
  <c r="F7" i="2" s="1"/>
  <c r="AG6" i="2"/>
  <c r="AH6" i="2" s="1"/>
  <c r="AE6" i="2"/>
  <c r="AF6" i="2" s="1"/>
  <c r="AC6" i="2"/>
  <c r="AD6" i="2" s="1"/>
  <c r="AA6" i="2"/>
  <c r="AB6" i="2" s="1"/>
  <c r="Y6" i="2"/>
  <c r="Z6" i="2" s="1"/>
  <c r="W6" i="2"/>
  <c r="X6" i="2" s="1"/>
  <c r="U6" i="2"/>
  <c r="V6" i="2" s="1"/>
  <c r="S6" i="2"/>
  <c r="T6" i="2" s="1"/>
  <c r="Q6" i="2"/>
  <c r="R6" i="2" s="1"/>
  <c r="O6" i="2"/>
  <c r="P6" i="2" s="1"/>
  <c r="M6" i="2"/>
  <c r="N6" i="2" s="1"/>
  <c r="K6" i="2"/>
  <c r="L6" i="2" s="1"/>
  <c r="I6" i="2"/>
  <c r="J6" i="2" s="1"/>
  <c r="G6" i="2"/>
  <c r="H6" i="2" s="1"/>
  <c r="E6" i="2"/>
  <c r="F6" i="2" s="1"/>
  <c r="AG5" i="2"/>
  <c r="AH5" i="2" s="1"/>
  <c r="AE5" i="2"/>
  <c r="AF5" i="2" s="1"/>
  <c r="AC5" i="2"/>
  <c r="AD5" i="2" s="1"/>
  <c r="AA5" i="2"/>
  <c r="AB5" i="2" s="1"/>
  <c r="Y5" i="2"/>
  <c r="Z5" i="2" s="1"/>
  <c r="W5" i="2"/>
  <c r="X5" i="2" s="1"/>
  <c r="U5" i="2"/>
  <c r="V5" i="2" s="1"/>
  <c r="S5" i="2"/>
  <c r="T5" i="2" s="1"/>
  <c r="Q5" i="2"/>
  <c r="R5" i="2" s="1"/>
  <c r="O5" i="2"/>
  <c r="P5" i="2" s="1"/>
  <c r="M5" i="2"/>
  <c r="N5" i="2" s="1"/>
  <c r="K5" i="2"/>
  <c r="L5" i="2" s="1"/>
  <c r="I5" i="2"/>
  <c r="J5" i="2" s="1"/>
  <c r="G5" i="2"/>
  <c r="H5" i="2" s="1"/>
  <c r="E5" i="2"/>
  <c r="F5" i="2" s="1"/>
  <c r="X28" i="2" l="1"/>
  <c r="AF28" i="2"/>
  <c r="J28" i="2"/>
  <c r="AH28" i="2"/>
  <c r="AB28" i="2"/>
  <c r="T28" i="2"/>
  <c r="P28" i="2"/>
  <c r="L28" i="2"/>
  <c r="H28" i="2"/>
  <c r="Z28" i="2"/>
  <c r="AD28" i="2"/>
  <c r="R28" i="2"/>
  <c r="V28" i="2"/>
  <c r="F28" i="2"/>
  <c r="N28" i="2"/>
  <c r="D28" i="4" l="1"/>
  <c r="F27" i="4"/>
  <c r="F26" i="4"/>
  <c r="F25" i="4"/>
  <c r="Z24" i="4"/>
  <c r="W24" i="4"/>
  <c r="X24" i="4" s="1"/>
  <c r="V24" i="4"/>
  <c r="T24" i="4"/>
  <c r="R24" i="4"/>
  <c r="P24" i="4"/>
  <c r="M24" i="4"/>
  <c r="N24" i="4" s="1"/>
  <c r="L24" i="4"/>
  <c r="J24" i="4"/>
  <c r="H24" i="4"/>
  <c r="F24" i="4"/>
  <c r="Z23" i="4"/>
  <c r="Y23" i="4"/>
  <c r="W23" i="4"/>
  <c r="X23" i="4" s="1"/>
  <c r="U23" i="4"/>
  <c r="V23" i="4" s="1"/>
  <c r="S23" i="4"/>
  <c r="T23" i="4" s="1"/>
  <c r="Q23" i="4"/>
  <c r="R23" i="4" s="1"/>
  <c r="O23" i="4"/>
  <c r="P23" i="4" s="1"/>
  <c r="M23" i="4"/>
  <c r="N23" i="4" s="1"/>
  <c r="K23" i="4"/>
  <c r="L23" i="4" s="1"/>
  <c r="I23" i="4"/>
  <c r="J23" i="4" s="1"/>
  <c r="H23" i="4"/>
  <c r="G23" i="4"/>
  <c r="E23" i="4"/>
  <c r="F23" i="4" s="1"/>
  <c r="AB22" i="4"/>
  <c r="Z22" i="4"/>
  <c r="Y22" i="4"/>
  <c r="X22" i="4"/>
  <c r="W22" i="4"/>
  <c r="U22" i="4"/>
  <c r="V22" i="4" s="1"/>
  <c r="S22" i="4"/>
  <c r="T22" i="4" s="1"/>
  <c r="Q22" i="4"/>
  <c r="R22" i="4" s="1"/>
  <c r="O22" i="4"/>
  <c r="P22" i="4" s="1"/>
  <c r="M22" i="4"/>
  <c r="N22" i="4" s="1"/>
  <c r="K22" i="4"/>
  <c r="L22" i="4" s="1"/>
  <c r="J22" i="4"/>
  <c r="I22" i="4"/>
  <c r="H22" i="4"/>
  <c r="G22" i="4"/>
  <c r="E22" i="4"/>
  <c r="F22" i="4" s="1"/>
  <c r="AA21" i="4"/>
  <c r="AB21" i="4" s="1"/>
  <c r="Y21" i="4"/>
  <c r="Z21" i="4" s="1"/>
  <c r="W21" i="4"/>
  <c r="X21" i="4" s="1"/>
  <c r="U21" i="4"/>
  <c r="V21" i="4" s="1"/>
  <c r="S21" i="4"/>
  <c r="T21" i="4" s="1"/>
  <c r="Q21" i="4"/>
  <c r="R21" i="4" s="1"/>
  <c r="P21" i="4"/>
  <c r="O21" i="4"/>
  <c r="N21" i="4"/>
  <c r="M21" i="4"/>
  <c r="K21" i="4"/>
  <c r="L21" i="4" s="1"/>
  <c r="I21" i="4"/>
  <c r="J21" i="4" s="1"/>
  <c r="G21" i="4"/>
  <c r="H21" i="4" s="1"/>
  <c r="E21" i="4"/>
  <c r="F21" i="4" s="1"/>
  <c r="AA20" i="4"/>
  <c r="AB20" i="4" s="1"/>
  <c r="Y20" i="4"/>
  <c r="Z20" i="4" s="1"/>
  <c r="W20" i="4"/>
  <c r="X20" i="4" s="1"/>
  <c r="V20" i="4"/>
  <c r="U20" i="4"/>
  <c r="T20" i="4"/>
  <c r="S20" i="4"/>
  <c r="Q20" i="4"/>
  <c r="R20" i="4" s="1"/>
  <c r="O20" i="4"/>
  <c r="P20" i="4" s="1"/>
  <c r="M20" i="4"/>
  <c r="N20" i="4" s="1"/>
  <c r="K20" i="4"/>
  <c r="L20" i="4" s="1"/>
  <c r="I20" i="4"/>
  <c r="J20" i="4" s="1"/>
  <c r="G20" i="4"/>
  <c r="H20" i="4" s="1"/>
  <c r="E20" i="4"/>
  <c r="F20" i="4" s="1"/>
  <c r="AB19" i="4"/>
  <c r="AA19" i="4"/>
  <c r="Z19" i="4"/>
  <c r="Y19" i="4"/>
  <c r="W19" i="4"/>
  <c r="X19" i="4" s="1"/>
  <c r="U19" i="4"/>
  <c r="V19" i="4" s="1"/>
  <c r="S19" i="4"/>
  <c r="T19" i="4" s="1"/>
  <c r="Q19" i="4"/>
  <c r="R19" i="4" s="1"/>
  <c r="O19" i="4"/>
  <c r="P19" i="4" s="1"/>
  <c r="M19" i="4"/>
  <c r="N19" i="4" s="1"/>
  <c r="K19" i="4"/>
  <c r="L19" i="4" s="1"/>
  <c r="J19" i="4"/>
  <c r="I19" i="4"/>
  <c r="H19" i="4"/>
  <c r="G19" i="4"/>
  <c r="E19" i="4"/>
  <c r="F19" i="4" s="1"/>
  <c r="AA18" i="4"/>
  <c r="AB18" i="4" s="1"/>
  <c r="Y18" i="4"/>
  <c r="Z18" i="4" s="1"/>
  <c r="W18" i="4"/>
  <c r="X18" i="4" s="1"/>
  <c r="U18" i="4"/>
  <c r="V18" i="4" s="1"/>
  <c r="S18" i="4"/>
  <c r="T18" i="4" s="1"/>
  <c r="Q18" i="4"/>
  <c r="R18" i="4" s="1"/>
  <c r="P18" i="4"/>
  <c r="O18" i="4"/>
  <c r="N18" i="4"/>
  <c r="M18" i="4"/>
  <c r="K18" i="4"/>
  <c r="L18" i="4" s="1"/>
  <c r="I18" i="4"/>
  <c r="J18" i="4" s="1"/>
  <c r="G18" i="4"/>
  <c r="H18" i="4" s="1"/>
  <c r="E18" i="4"/>
  <c r="F18" i="4" s="1"/>
  <c r="AA17" i="4"/>
  <c r="AB17" i="4" s="1"/>
  <c r="Y17" i="4"/>
  <c r="Z17" i="4" s="1"/>
  <c r="W17" i="4"/>
  <c r="X17" i="4" s="1"/>
  <c r="V17" i="4"/>
  <c r="U17" i="4"/>
  <c r="T17" i="4"/>
  <c r="S17" i="4"/>
  <c r="Q17" i="4"/>
  <c r="R17" i="4" s="1"/>
  <c r="O17" i="4"/>
  <c r="P17" i="4" s="1"/>
  <c r="M17" i="4"/>
  <c r="N17" i="4" s="1"/>
  <c r="K17" i="4"/>
  <c r="L17" i="4" s="1"/>
  <c r="I17" i="4"/>
  <c r="J17" i="4" s="1"/>
  <c r="G17" i="4"/>
  <c r="H17" i="4" s="1"/>
  <c r="E17" i="4"/>
  <c r="F17" i="4" s="1"/>
  <c r="AB16" i="4"/>
  <c r="AA16" i="4"/>
  <c r="Z16" i="4"/>
  <c r="Y16" i="4"/>
  <c r="W16" i="4"/>
  <c r="X16" i="4" s="1"/>
  <c r="U16" i="4"/>
  <c r="V16" i="4" s="1"/>
  <c r="S16" i="4"/>
  <c r="T16" i="4" s="1"/>
  <c r="Q16" i="4"/>
  <c r="R16" i="4" s="1"/>
  <c r="O16" i="4"/>
  <c r="P16" i="4" s="1"/>
  <c r="M16" i="4"/>
  <c r="N16" i="4" s="1"/>
  <c r="K16" i="4"/>
  <c r="L16" i="4" s="1"/>
  <c r="J16" i="4"/>
  <c r="I16" i="4"/>
  <c r="H16" i="4"/>
  <c r="G16" i="4"/>
  <c r="E16" i="4"/>
  <c r="F16" i="4" s="1"/>
  <c r="AA15" i="4"/>
  <c r="AB15" i="4" s="1"/>
  <c r="Y15" i="4"/>
  <c r="Z15" i="4" s="1"/>
  <c r="W15" i="4"/>
  <c r="X15" i="4" s="1"/>
  <c r="U15" i="4"/>
  <c r="V15" i="4" s="1"/>
  <c r="S15" i="4"/>
  <c r="T15" i="4" s="1"/>
  <c r="Q15" i="4"/>
  <c r="R15" i="4" s="1"/>
  <c r="P15" i="4"/>
  <c r="O15" i="4"/>
  <c r="N15" i="4"/>
  <c r="M15" i="4"/>
  <c r="K15" i="4"/>
  <c r="L15" i="4" s="1"/>
  <c r="I15" i="4"/>
  <c r="J15" i="4" s="1"/>
  <c r="G15" i="4"/>
  <c r="H15" i="4" s="1"/>
  <c r="E15" i="4"/>
  <c r="F15" i="4" s="1"/>
  <c r="AA14" i="4"/>
  <c r="AB14" i="4" s="1"/>
  <c r="Y14" i="4"/>
  <c r="Z14" i="4" s="1"/>
  <c r="W14" i="4"/>
  <c r="X14" i="4" s="1"/>
  <c r="V14" i="4"/>
  <c r="U14" i="4"/>
  <c r="T14" i="4"/>
  <c r="S14" i="4"/>
  <c r="Q14" i="4"/>
  <c r="R14" i="4" s="1"/>
  <c r="O14" i="4"/>
  <c r="P14" i="4" s="1"/>
  <c r="M14" i="4"/>
  <c r="N14" i="4" s="1"/>
  <c r="K14" i="4"/>
  <c r="L14" i="4" s="1"/>
  <c r="I14" i="4"/>
  <c r="J14" i="4" s="1"/>
  <c r="G14" i="4"/>
  <c r="H14" i="4" s="1"/>
  <c r="E14" i="4"/>
  <c r="F14" i="4" s="1"/>
  <c r="AA13" i="4"/>
  <c r="AB13" i="4" s="1"/>
  <c r="Z13" i="4"/>
  <c r="Y13" i="4"/>
  <c r="W13" i="4"/>
  <c r="X13" i="4" s="1"/>
  <c r="U13" i="4"/>
  <c r="V13" i="4" s="1"/>
  <c r="S13" i="4"/>
  <c r="T13" i="4" s="1"/>
  <c r="Q13" i="4"/>
  <c r="R13" i="4" s="1"/>
  <c r="O13" i="4"/>
  <c r="P13" i="4" s="1"/>
  <c r="M13" i="4"/>
  <c r="N13" i="4" s="1"/>
  <c r="K13" i="4"/>
  <c r="L13" i="4" s="1"/>
  <c r="I13" i="4"/>
  <c r="J13" i="4" s="1"/>
  <c r="H13" i="4"/>
  <c r="G13" i="4"/>
  <c r="E13" i="4"/>
  <c r="F13" i="4" s="1"/>
  <c r="AA12" i="4"/>
  <c r="AB12" i="4" s="1"/>
  <c r="Y12" i="4"/>
  <c r="Z12" i="4" s="1"/>
  <c r="W12" i="4"/>
  <c r="X12" i="4" s="1"/>
  <c r="U12" i="4"/>
  <c r="V12" i="4" s="1"/>
  <c r="S12" i="4"/>
  <c r="T12" i="4" s="1"/>
  <c r="Q12" i="4"/>
  <c r="R12" i="4" s="1"/>
  <c r="O12" i="4"/>
  <c r="P12" i="4" s="1"/>
  <c r="N12" i="4"/>
  <c r="M12" i="4"/>
  <c r="K12" i="4"/>
  <c r="L12" i="4" s="1"/>
  <c r="I12" i="4"/>
  <c r="J12" i="4" s="1"/>
  <c r="G12" i="4"/>
  <c r="H12" i="4" s="1"/>
  <c r="E12" i="4"/>
  <c r="F12" i="4" s="1"/>
  <c r="AA11" i="4"/>
  <c r="AB11" i="4" s="1"/>
  <c r="Y11" i="4"/>
  <c r="Z11" i="4" s="1"/>
  <c r="W11" i="4"/>
  <c r="X11" i="4" s="1"/>
  <c r="U11" i="4"/>
  <c r="V11" i="4" s="1"/>
  <c r="T11" i="4"/>
  <c r="S11" i="4"/>
  <c r="Q11" i="4"/>
  <c r="R11" i="4" s="1"/>
  <c r="O11" i="4"/>
  <c r="P11" i="4" s="1"/>
  <c r="M11" i="4"/>
  <c r="N11" i="4" s="1"/>
  <c r="K11" i="4"/>
  <c r="L11" i="4" s="1"/>
  <c r="I11" i="4"/>
  <c r="J11" i="4" s="1"/>
  <c r="G11" i="4"/>
  <c r="H11" i="4" s="1"/>
  <c r="E11" i="4"/>
  <c r="F11" i="4" s="1"/>
  <c r="AA10" i="4"/>
  <c r="AB10" i="4" s="1"/>
  <c r="Z10" i="4"/>
  <c r="Y10" i="4"/>
  <c r="W10" i="4"/>
  <c r="X10" i="4" s="1"/>
  <c r="U10" i="4"/>
  <c r="V10" i="4" s="1"/>
  <c r="S10" i="4"/>
  <c r="T10" i="4" s="1"/>
  <c r="Q10" i="4"/>
  <c r="R10" i="4" s="1"/>
  <c r="O10" i="4"/>
  <c r="P10" i="4" s="1"/>
  <c r="M10" i="4"/>
  <c r="N10" i="4" s="1"/>
  <c r="K10" i="4"/>
  <c r="L10" i="4" s="1"/>
  <c r="I10" i="4"/>
  <c r="J10" i="4" s="1"/>
  <c r="H10" i="4"/>
  <c r="G10" i="4"/>
  <c r="E10" i="4"/>
  <c r="F10" i="4" s="1"/>
  <c r="AA9" i="4"/>
  <c r="AB9" i="4" s="1"/>
  <c r="Y9" i="4"/>
  <c r="Z9" i="4" s="1"/>
  <c r="W9" i="4"/>
  <c r="X9" i="4" s="1"/>
  <c r="U9" i="4"/>
  <c r="V9" i="4" s="1"/>
  <c r="S9" i="4"/>
  <c r="T9" i="4" s="1"/>
  <c r="Q9" i="4"/>
  <c r="R9" i="4" s="1"/>
  <c r="O9" i="4"/>
  <c r="P9" i="4" s="1"/>
  <c r="N9" i="4"/>
  <c r="M9" i="4"/>
  <c r="K9" i="4"/>
  <c r="L9" i="4" s="1"/>
  <c r="I9" i="4"/>
  <c r="J9" i="4" s="1"/>
  <c r="G9" i="4"/>
  <c r="H9" i="4" s="1"/>
  <c r="E9" i="4"/>
  <c r="F9" i="4" s="1"/>
  <c r="B9" i="4"/>
  <c r="AA8" i="4"/>
  <c r="AB8" i="4" s="1"/>
  <c r="Y8" i="4"/>
  <c r="Z8" i="4" s="1"/>
  <c r="W8" i="4"/>
  <c r="X8" i="4" s="1"/>
  <c r="V8" i="4"/>
  <c r="U8" i="4"/>
  <c r="S8" i="4"/>
  <c r="T8" i="4" s="1"/>
  <c r="Q8" i="4"/>
  <c r="R8" i="4" s="1"/>
  <c r="O8" i="4"/>
  <c r="P8" i="4" s="1"/>
  <c r="M8" i="4"/>
  <c r="N8" i="4" s="1"/>
  <c r="K8" i="4"/>
  <c r="L8" i="4" s="1"/>
  <c r="I8" i="4"/>
  <c r="J8" i="4" s="1"/>
  <c r="G8" i="4"/>
  <c r="H8" i="4" s="1"/>
  <c r="E8" i="4"/>
  <c r="F8" i="4" s="1"/>
  <c r="C8" i="4"/>
  <c r="AA7" i="4"/>
  <c r="AB7" i="4" s="1"/>
  <c r="Y7" i="4"/>
  <c r="Z7" i="4" s="1"/>
  <c r="W7" i="4"/>
  <c r="X7" i="4" s="1"/>
  <c r="U7" i="4"/>
  <c r="V7" i="4" s="1"/>
  <c r="S7" i="4"/>
  <c r="T7" i="4" s="1"/>
  <c r="Q7" i="4"/>
  <c r="R7" i="4" s="1"/>
  <c r="O7" i="4"/>
  <c r="P7" i="4" s="1"/>
  <c r="M7" i="4"/>
  <c r="N7" i="4" s="1"/>
  <c r="K7" i="4"/>
  <c r="L7" i="4" s="1"/>
  <c r="I7" i="4"/>
  <c r="J7" i="4" s="1"/>
  <c r="G7" i="4"/>
  <c r="H7" i="4" s="1"/>
  <c r="E7" i="4"/>
  <c r="F7" i="4" s="1"/>
  <c r="B7" i="4"/>
  <c r="AA6" i="4"/>
  <c r="AB6" i="4" s="1"/>
  <c r="Y6" i="4"/>
  <c r="Z6" i="4" s="1"/>
  <c r="W6" i="4"/>
  <c r="X6" i="4" s="1"/>
  <c r="U6" i="4"/>
  <c r="V6" i="4" s="1"/>
  <c r="S6" i="4"/>
  <c r="T6" i="4" s="1"/>
  <c r="Q6" i="4"/>
  <c r="R6" i="4" s="1"/>
  <c r="O6" i="4"/>
  <c r="P6" i="4" s="1"/>
  <c r="M6" i="4"/>
  <c r="N6" i="4" s="1"/>
  <c r="K6" i="4"/>
  <c r="L6" i="4" s="1"/>
  <c r="I6" i="4"/>
  <c r="J6" i="4" s="1"/>
  <c r="G6" i="4"/>
  <c r="H6" i="4" s="1"/>
  <c r="E6" i="4"/>
  <c r="F6" i="4" s="1"/>
  <c r="AA5" i="4"/>
  <c r="AB5" i="4" s="1"/>
  <c r="Y5" i="4"/>
  <c r="Z5" i="4" s="1"/>
  <c r="W5" i="4"/>
  <c r="X5" i="4" s="1"/>
  <c r="U5" i="4"/>
  <c r="V5" i="4" s="1"/>
  <c r="S5" i="4"/>
  <c r="T5" i="4" s="1"/>
  <c r="Q5" i="4"/>
  <c r="R5" i="4" s="1"/>
  <c r="O5" i="4"/>
  <c r="P5" i="4" s="1"/>
  <c r="M5" i="4"/>
  <c r="N5" i="4" s="1"/>
  <c r="K5" i="4"/>
  <c r="L5" i="4" s="1"/>
  <c r="I5" i="4"/>
  <c r="J5" i="4" s="1"/>
  <c r="G5" i="4"/>
  <c r="H5" i="4" s="1"/>
  <c r="E5" i="4"/>
  <c r="F5" i="4" s="1"/>
  <c r="R28" i="4" l="1"/>
  <c r="C7" i="4"/>
  <c r="T28" i="4"/>
  <c r="B10" i="4"/>
  <c r="C9" i="4"/>
  <c r="F28" i="4"/>
  <c r="H28" i="4"/>
  <c r="P28" i="4"/>
  <c r="J28" i="4"/>
  <c r="L28" i="4"/>
  <c r="Z28" i="4"/>
  <c r="V28" i="4"/>
  <c r="AB28" i="4"/>
  <c r="N28" i="4"/>
  <c r="B11" i="4"/>
  <c r="C10" i="4"/>
  <c r="X28" i="4"/>
  <c r="B6" i="4"/>
  <c r="C6" i="4" l="1"/>
  <c r="B5" i="4"/>
  <c r="B12" i="4"/>
  <c r="C11" i="4"/>
  <c r="C5" i="4" l="1"/>
  <c r="B13" i="4"/>
  <c r="C12" i="4"/>
  <c r="C13" i="4" l="1"/>
  <c r="B14" i="4"/>
  <c r="B15" i="4" l="1"/>
  <c r="C14" i="4"/>
  <c r="C15" i="4" l="1"/>
  <c r="B16" i="4"/>
  <c r="B17" i="4" l="1"/>
  <c r="C16" i="4"/>
  <c r="B18" i="4" l="1"/>
  <c r="C17" i="4"/>
  <c r="B19" i="4" l="1"/>
  <c r="C18" i="4"/>
  <c r="B20" i="4" l="1"/>
  <c r="C19" i="4"/>
  <c r="B21" i="4" l="1"/>
  <c r="C20" i="4"/>
  <c r="B22" i="4" l="1"/>
  <c r="C21" i="4"/>
  <c r="B23" i="4" l="1"/>
  <c r="C22" i="4"/>
  <c r="B24" i="4" l="1"/>
  <c r="C23" i="4"/>
  <c r="B25" i="4" l="1"/>
  <c r="C24" i="4"/>
  <c r="B26" i="4" l="1"/>
  <c r="C25" i="4"/>
  <c r="B27" i="4" l="1"/>
  <c r="C26" i="4"/>
  <c r="C27" i="4" l="1"/>
</calcChain>
</file>

<file path=xl/sharedStrings.xml><?xml version="1.0" encoding="utf-8"?>
<sst xmlns="http://schemas.openxmlformats.org/spreadsheetml/2006/main" count="112" uniqueCount="34">
  <si>
    <t>95 - 100</t>
  </si>
  <si>
    <t>80 - 85</t>
  </si>
  <si>
    <t>90 - 95</t>
  </si>
  <si>
    <t>55 - 60</t>
  </si>
  <si>
    <t>65 - 70</t>
  </si>
  <si>
    <t>75 - 80</t>
  </si>
  <si>
    <t>85 - 90</t>
  </si>
  <si>
    <t>50 - 55</t>
  </si>
  <si>
    <t>60 - 65</t>
  </si>
  <si>
    <t>70 - 75</t>
  </si>
  <si>
    <t>kW</t>
  </si>
  <si>
    <t>45 - 50</t>
  </si>
  <si>
    <t>40 - 45</t>
  </si>
  <si>
    <t>35 - 40</t>
  </si>
  <si>
    <t>30 - 35</t>
  </si>
  <si>
    <t>25 - 30</t>
  </si>
  <si>
    <t>Annual kWh</t>
  </si>
  <si>
    <t>105 - 110</t>
    <phoneticPr fontId="5" type="noConversion"/>
  </si>
  <si>
    <t>110 - 115</t>
    <phoneticPr fontId="5" type="noConversion"/>
  </si>
  <si>
    <t>100 - 105</t>
    <phoneticPr fontId="5" type="noConversion"/>
  </si>
  <si>
    <t>Total Operating Hours</t>
    <phoneticPr fontId="5" type="noConversion"/>
  </si>
  <si>
    <t>25 - 20</t>
    <phoneticPr fontId="5" type="noConversion"/>
  </si>
  <si>
    <t>Bin Temp [F]</t>
    <phoneticPr fontId="3" type="noConversion"/>
  </si>
  <si>
    <t>Average Ambient[F]</t>
    <phoneticPr fontId="3" type="noConversion"/>
  </si>
  <si>
    <t>Average Ambient[C]</t>
    <phoneticPr fontId="5" type="noConversion"/>
  </si>
  <si>
    <t>Annual kW</t>
    <phoneticPr fontId="5" type="noConversion"/>
  </si>
  <si>
    <t>kW</t>
    <phoneticPr fontId="5" type="noConversion"/>
  </si>
  <si>
    <t>Input power</t>
    <phoneticPr fontId="5" type="noConversion"/>
  </si>
  <si>
    <t>YVAM1500--1300 KW@33C/25C Texas</t>
    <phoneticPr fontId="5" type="noConversion"/>
  </si>
  <si>
    <t>20 - 25</t>
    <phoneticPr fontId="5" type="noConversion"/>
  </si>
  <si>
    <t>20 - 15</t>
    <phoneticPr fontId="5" type="noConversion"/>
  </si>
  <si>
    <t>15 - 10</t>
    <phoneticPr fontId="5" type="noConversion"/>
  </si>
  <si>
    <t>10 - 05</t>
    <phoneticPr fontId="5" type="noConversion"/>
  </si>
  <si>
    <t>YVAM1500--1300 KW@25C/17C Texas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</si>
</sst>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¥&quot;* #,##0.00_ ;_ &quot;¥&quot;* \-#,##0.00_ ;_ &quot;¥&quot;* &quot;-&quot;??_ ;_ @_ "/>
    <numFmt numFmtId="176" formatCode="_(* #,##0_);_(* \(#,##0\);_(* &quot;-&quot;??_);_(@_)"/>
  </numFmts>
  <fonts count="10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8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theme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1"/>
      </right>
      <top style="double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theme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176" fontId="7" fillId="2" borderId="0" xfId="0" applyNumberFormat="1" applyFont="1" applyFill="1" applyAlignment="1">
      <alignment horizontal="center"/>
    </xf>
    <xf numFmtId="176" fontId="8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44" fontId="0" fillId="0" borderId="0" xfId="0" applyNumberFormat="1"/>
    <xf numFmtId="49" fontId="0" fillId="0" borderId="0" xfId="0" applyNumberFormat="1"/>
    <xf numFmtId="49" fontId="0" fillId="7" borderId="0" xfId="0" applyNumberFormat="1" applyFill="1"/>
    <xf numFmtId="0" fontId="0" fillId="7" borderId="0" xfId="0" applyFill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176" fontId="8" fillId="2" borderId="7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9" fillId="6" borderId="5" xfId="0" applyFont="1" applyFill="1" applyBorder="1" applyAlignment="1">
      <alignment horizontal="left" vertical="center"/>
    </xf>
    <xf numFmtId="0" fontId="9" fillId="6" borderId="6" xfId="0" applyFont="1" applyFill="1" applyBorder="1" applyAlignment="1">
      <alignment horizontal="left" vertical="center"/>
    </xf>
  </cellXfs>
  <cellStyles count="1">
    <cellStyle name="常规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176" formatCode="_(* #,##0_);_(* \(#,##0\);_(* &quot;-&quot;??_);_(@_)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176" formatCode="_(* #,##0_);_(* \(#,##0\);_(* &quot;-&quot;??_);_(@_)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宋体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ill>
        <patternFill patternType="solid"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宋体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FF0000"/>
        <name val="宋体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03-Estimate%20Annual%20kWh_YVAM1500%20@%20W17-1300kW-2025-4-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VAM Annual Estimate"/>
      <sheetName val="YVAM chiller load reference"/>
    </sheetNames>
    <sheetDataSet>
      <sheetData sheetId="0"/>
      <sheetData sheetId="1">
        <row r="3">
          <cell r="D3">
            <v>380.4</v>
          </cell>
          <cell r="L3">
            <v>350.3</v>
          </cell>
          <cell r="S3">
            <v>312</v>
          </cell>
          <cell r="Z3">
            <v>274.60000000000002</v>
          </cell>
          <cell r="AG3">
            <v>240.2</v>
          </cell>
          <cell r="AN3">
            <v>208.9</v>
          </cell>
          <cell r="AU3">
            <v>181.6</v>
          </cell>
          <cell r="BB3">
            <v>158.6</v>
          </cell>
          <cell r="BD3">
            <v>259.5</v>
          </cell>
          <cell r="BI3">
            <v>139</v>
          </cell>
          <cell r="BP3">
            <v>146.19999999999999</v>
          </cell>
          <cell r="BR3">
            <v>240.5</v>
          </cell>
        </row>
        <row r="4">
          <cell r="D4">
            <v>341.1</v>
          </cell>
          <cell r="L4">
            <v>313.7</v>
          </cell>
          <cell r="S4">
            <v>277.60000000000002</v>
          </cell>
          <cell r="Z4">
            <v>244.5</v>
          </cell>
          <cell r="AG4">
            <v>213.9</v>
          </cell>
          <cell r="AN4">
            <v>185.7</v>
          </cell>
          <cell r="AU4">
            <v>161.4</v>
          </cell>
          <cell r="BB4">
            <v>142.30000000000001</v>
          </cell>
          <cell r="BD4">
            <v>237.5</v>
          </cell>
          <cell r="BI4">
            <v>123</v>
          </cell>
          <cell r="BP4">
            <v>119.5</v>
          </cell>
          <cell r="BR4">
            <v>215.5</v>
          </cell>
        </row>
        <row r="5">
          <cell r="D5">
            <v>305.39999999999998</v>
          </cell>
          <cell r="L5">
            <v>280.39999999999998</v>
          </cell>
          <cell r="S5">
            <v>246.9</v>
          </cell>
          <cell r="Z5">
            <v>216.7</v>
          </cell>
          <cell r="AG5">
            <v>190</v>
          </cell>
          <cell r="AN5">
            <v>164.7</v>
          </cell>
          <cell r="AU5">
            <v>142.4</v>
          </cell>
          <cell r="BB5">
            <v>123.2</v>
          </cell>
          <cell r="BD5">
            <v>214.5</v>
          </cell>
          <cell r="BI5">
            <v>109.6</v>
          </cell>
          <cell r="BP5">
            <v>103.9</v>
          </cell>
          <cell r="BR5">
            <v>196.5</v>
          </cell>
        </row>
        <row r="6">
          <cell r="D6">
            <v>273.2</v>
          </cell>
          <cell r="L6">
            <v>249.9</v>
          </cell>
          <cell r="S6">
            <v>220.7</v>
          </cell>
          <cell r="Z6">
            <v>192.6</v>
          </cell>
          <cell r="AG6">
            <v>166.5</v>
          </cell>
          <cell r="AN6">
            <v>142.6</v>
          </cell>
          <cell r="AU6">
            <v>121.2</v>
          </cell>
          <cell r="BB6">
            <v>101.2</v>
          </cell>
          <cell r="BD6">
            <v>189.5</v>
          </cell>
          <cell r="BI6">
            <v>93.83</v>
          </cell>
          <cell r="BP6">
            <v>90.71</v>
          </cell>
          <cell r="BR6">
            <v>179.5</v>
          </cell>
        </row>
        <row r="7">
          <cell r="D7">
            <v>254</v>
          </cell>
          <cell r="L7">
            <v>231.4</v>
          </cell>
          <cell r="S7">
            <v>202.7</v>
          </cell>
          <cell r="Z7">
            <v>175.5</v>
          </cell>
          <cell r="AG7">
            <v>151.4</v>
          </cell>
          <cell r="AN7">
            <v>129.30000000000001</v>
          </cell>
          <cell r="AU7">
            <v>109.8</v>
          </cell>
          <cell r="BB7">
            <v>91.72</v>
          </cell>
          <cell r="BD7">
            <v>177.5</v>
          </cell>
          <cell r="BI7">
            <v>80.73</v>
          </cell>
          <cell r="BP7">
            <v>81.25</v>
          </cell>
          <cell r="BR7">
            <v>167.5</v>
          </cell>
        </row>
        <row r="8">
          <cell r="D8">
            <v>226.3</v>
          </cell>
          <cell r="L8">
            <v>205</v>
          </cell>
          <cell r="S8">
            <v>178.7</v>
          </cell>
          <cell r="Z8">
            <v>154.69999999999999</v>
          </cell>
          <cell r="AG8">
            <v>131.9</v>
          </cell>
          <cell r="AN8">
            <v>111.5</v>
          </cell>
          <cell r="AU8">
            <v>93.49</v>
          </cell>
          <cell r="BB8">
            <v>77.81</v>
          </cell>
          <cell r="BD8">
            <v>160.5</v>
          </cell>
          <cell r="BI8">
            <v>67.13</v>
          </cell>
          <cell r="BP8">
            <v>66.349999999999994</v>
          </cell>
          <cell r="BR8">
            <v>148.5</v>
          </cell>
        </row>
        <row r="9">
          <cell r="D9">
            <v>201.8</v>
          </cell>
          <cell r="L9">
            <v>181.4</v>
          </cell>
          <cell r="S9">
            <v>156.9</v>
          </cell>
          <cell r="Z9">
            <v>134.30000000000001</v>
          </cell>
          <cell r="AG9">
            <v>113.7</v>
          </cell>
          <cell r="AN9">
            <v>95.33</v>
          </cell>
          <cell r="AU9">
            <v>78.95</v>
          </cell>
          <cell r="BB9">
            <v>64.53</v>
          </cell>
          <cell r="BD9">
            <v>143.5</v>
          </cell>
          <cell r="BI9">
            <v>53.21</v>
          </cell>
          <cell r="BP9">
            <v>52.03</v>
          </cell>
          <cell r="BR9">
            <v>132.5</v>
          </cell>
        </row>
        <row r="10">
          <cell r="D10">
            <v>178.2</v>
          </cell>
          <cell r="L10">
            <v>159.80000000000001</v>
          </cell>
          <cell r="S10">
            <v>137.30000000000001</v>
          </cell>
          <cell r="Z10">
            <v>116.5</v>
          </cell>
          <cell r="AG10">
            <v>97.59</v>
          </cell>
          <cell r="AN10">
            <v>80.81</v>
          </cell>
          <cell r="AU10">
            <v>65.319999999999993</v>
          </cell>
          <cell r="BB10">
            <v>51.95</v>
          </cell>
          <cell r="BD10">
            <v>129.5</v>
          </cell>
          <cell r="BI10">
            <v>41.02</v>
          </cell>
          <cell r="BP10">
            <v>37.18</v>
          </cell>
          <cell r="BR10">
            <v>113.5</v>
          </cell>
        </row>
        <row r="11">
          <cell r="D11">
            <v>164.1</v>
          </cell>
          <cell r="L11">
            <v>146.69999999999999</v>
          </cell>
          <cell r="S11">
            <v>125.3</v>
          </cell>
          <cell r="Z11">
            <v>105.6</v>
          </cell>
          <cell r="AG11">
            <v>87.8</v>
          </cell>
          <cell r="AN11">
            <v>72.010000000000005</v>
          </cell>
          <cell r="AU11">
            <v>58.07</v>
          </cell>
          <cell r="BB11">
            <v>45.86</v>
          </cell>
          <cell r="BD11">
            <v>122.5</v>
          </cell>
          <cell r="BI11">
            <v>35.700000000000003</v>
          </cell>
          <cell r="BP11">
            <v>31.22</v>
          </cell>
          <cell r="BR11">
            <v>106.5</v>
          </cell>
        </row>
        <row r="12">
          <cell r="D12">
            <v>143.80000000000001</v>
          </cell>
          <cell r="L12">
            <v>127.8</v>
          </cell>
          <cell r="S12">
            <v>108.3</v>
          </cell>
          <cell r="Z12">
            <v>90.35</v>
          </cell>
          <cell r="AG12">
            <v>74.36</v>
          </cell>
          <cell r="AN12">
            <v>60.12</v>
          </cell>
          <cell r="AU12">
            <v>47.93</v>
          </cell>
          <cell r="BB12">
            <v>36.979999999999997</v>
          </cell>
          <cell r="BD12">
            <v>111.5</v>
          </cell>
          <cell r="BI12">
            <v>27.75</v>
          </cell>
          <cell r="BP12">
            <v>23.9</v>
          </cell>
          <cell r="BR12">
            <v>98.5</v>
          </cell>
        </row>
        <row r="13">
          <cell r="D13">
            <v>124.9</v>
          </cell>
          <cell r="L13">
            <v>110.5</v>
          </cell>
          <cell r="S13">
            <v>92.69</v>
          </cell>
          <cell r="Z13">
            <v>76.400000000000006</v>
          </cell>
          <cell r="AG13">
            <v>62.02</v>
          </cell>
          <cell r="AN13">
            <v>49.46</v>
          </cell>
          <cell r="AU13">
            <v>38.54</v>
          </cell>
          <cell r="BB13">
            <v>29.28</v>
          </cell>
          <cell r="BD13">
            <v>102.5</v>
          </cell>
          <cell r="BI13">
            <v>21.09</v>
          </cell>
          <cell r="BP13">
            <v>17.579999999999998</v>
          </cell>
          <cell r="BR13">
            <v>90.5</v>
          </cell>
        </row>
        <row r="14">
          <cell r="D14">
            <v>107.5</v>
          </cell>
          <cell r="L14">
            <v>94.44</v>
          </cell>
          <cell r="S14">
            <v>78.02</v>
          </cell>
          <cell r="Z14">
            <v>63.48</v>
          </cell>
          <cell r="AG14">
            <v>50.72</v>
          </cell>
          <cell r="AN14">
            <v>39.44</v>
          </cell>
          <cell r="AU14">
            <v>29.72</v>
          </cell>
          <cell r="BB14">
            <v>21.61</v>
          </cell>
          <cell r="BD14">
            <v>93.5</v>
          </cell>
          <cell r="BI14">
            <v>15.76</v>
          </cell>
          <cell r="BP14">
            <v>14.06</v>
          </cell>
          <cell r="BR14">
            <v>87.5</v>
          </cell>
        </row>
        <row r="15">
          <cell r="D15">
            <v>92.56</v>
          </cell>
          <cell r="L15">
            <v>79.45</v>
          </cell>
          <cell r="S15">
            <v>64.739999999999995</v>
          </cell>
          <cell r="Z15">
            <v>51.59</v>
          </cell>
          <cell r="AG15">
            <v>39.76</v>
          </cell>
          <cell r="AN15">
            <v>30.14</v>
          </cell>
          <cell r="AU15">
            <v>22.24</v>
          </cell>
          <cell r="BB15">
            <v>17.55</v>
          </cell>
          <cell r="BD15">
            <v>91.5</v>
          </cell>
          <cell r="BI15">
            <v>14.8</v>
          </cell>
          <cell r="BP15">
            <v>13.2</v>
          </cell>
          <cell r="BR15">
            <v>87.5</v>
          </cell>
        </row>
        <row r="16">
          <cell r="D16">
            <v>83.85</v>
          </cell>
          <cell r="L16">
            <v>71.03</v>
          </cell>
          <cell r="S16">
            <v>57.14</v>
          </cell>
          <cell r="Z16">
            <v>44.17</v>
          </cell>
          <cell r="AG16">
            <v>34.619999999999997</v>
          </cell>
          <cell r="AN16">
            <v>26.67</v>
          </cell>
          <cell r="AU16">
            <v>19.690000000000001</v>
          </cell>
          <cell r="BB16">
            <v>16.82</v>
          </cell>
          <cell r="BD16">
            <v>91.5</v>
          </cell>
          <cell r="BI16">
            <v>14.32</v>
          </cell>
          <cell r="BP16">
            <v>13.06</v>
          </cell>
          <cell r="BR16">
            <v>87.5</v>
          </cell>
        </row>
        <row r="17">
          <cell r="D17">
            <v>73.2</v>
          </cell>
          <cell r="L17">
            <v>60.87</v>
          </cell>
          <cell r="S17">
            <v>48.31</v>
          </cell>
          <cell r="Z17">
            <v>36.729999999999997</v>
          </cell>
          <cell r="AG17">
            <v>28.62</v>
          </cell>
          <cell r="AN17">
            <v>22.36</v>
          </cell>
          <cell r="AU17">
            <v>18.07</v>
          </cell>
          <cell r="BB17">
            <v>16.260000000000002</v>
          </cell>
          <cell r="BD17">
            <v>91.5</v>
          </cell>
          <cell r="BI17">
            <v>14.06</v>
          </cell>
          <cell r="BP17">
            <v>12.92</v>
          </cell>
          <cell r="BR17">
            <v>87.5</v>
          </cell>
        </row>
        <row r="18">
          <cell r="D18">
            <v>66.47</v>
          </cell>
          <cell r="L18">
            <v>54.89</v>
          </cell>
          <cell r="S18">
            <v>41.71</v>
          </cell>
          <cell r="Z18">
            <v>32.1</v>
          </cell>
          <cell r="AG18">
            <v>25.37</v>
          </cell>
          <cell r="AN18">
            <v>20.45</v>
          </cell>
          <cell r="AU18">
            <v>17.649999999999999</v>
          </cell>
          <cell r="BB18">
            <v>16.329999999999998</v>
          </cell>
          <cell r="BD18">
            <v>91.5</v>
          </cell>
          <cell r="BI18">
            <v>13.86</v>
          </cell>
          <cell r="BP18">
            <v>12.94</v>
          </cell>
          <cell r="BR18">
            <v>87.5</v>
          </cell>
        </row>
        <row r="19">
          <cell r="D19">
            <v>62.43</v>
          </cell>
          <cell r="L19">
            <v>50.62</v>
          </cell>
          <cell r="S19">
            <v>37.729999999999997</v>
          </cell>
          <cell r="Z19">
            <v>28.92</v>
          </cell>
          <cell r="AG19">
            <v>22.52</v>
          </cell>
          <cell r="AN19">
            <v>18.53</v>
          </cell>
          <cell r="AU19">
            <v>16.79</v>
          </cell>
          <cell r="BB19">
            <v>15.96</v>
          </cell>
          <cell r="BD19">
            <v>91.5</v>
          </cell>
          <cell r="BI19">
            <v>14.28</v>
          </cell>
          <cell r="BP19">
            <v>13.34</v>
          </cell>
          <cell r="BR19">
            <v>87.5</v>
          </cell>
        </row>
        <row r="20">
          <cell r="D20">
            <v>59.26</v>
          </cell>
          <cell r="L20">
            <v>48.18</v>
          </cell>
          <cell r="S20">
            <v>35.880000000000003</v>
          </cell>
          <cell r="Z20">
            <v>27.75</v>
          </cell>
          <cell r="AG20">
            <v>22.48</v>
          </cell>
          <cell r="AN20">
            <v>18.27</v>
          </cell>
          <cell r="AU20">
            <v>16.579999999999998</v>
          </cell>
          <cell r="BB20">
            <v>15.94</v>
          </cell>
          <cell r="BD20">
            <v>91.5</v>
          </cell>
          <cell r="BI20">
            <v>13.81</v>
          </cell>
          <cell r="BP20">
            <v>12.78</v>
          </cell>
          <cell r="BR20">
            <v>87.5</v>
          </cell>
        </row>
        <row r="21">
          <cell r="D21">
            <v>58.36</v>
          </cell>
          <cell r="L21">
            <v>47.34</v>
          </cell>
          <cell r="S21">
            <v>35.32</v>
          </cell>
          <cell r="Z21">
            <v>27.42</v>
          </cell>
          <cell r="AG21">
            <v>22.53</v>
          </cell>
          <cell r="AN21">
            <v>18.420000000000002</v>
          </cell>
          <cell r="AU21">
            <v>16.48</v>
          </cell>
          <cell r="BB21">
            <v>15.83</v>
          </cell>
          <cell r="BD21">
            <v>91.5</v>
          </cell>
          <cell r="BI21">
            <v>13.93</v>
          </cell>
          <cell r="BP21">
            <v>12.77</v>
          </cell>
          <cell r="BR21">
            <v>87.5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3" displayName="Table1343" ref="A4:F28" totalsRowCount="1" headerRowDxfId="27" dataDxfId="26">
  <autoFilter ref="A4:F27" xr:uid="{00000000-0009-0000-0100-000002000000}"/>
  <tableColumns count="6">
    <tableColumn id="1" xr3:uid="{00000000-0010-0000-0000-000001000000}" name="Bin Temp [F]" dataDxfId="25" totalsRowDxfId="5"/>
    <tableColumn id="4" xr3:uid="{00000000-0010-0000-0000-000004000000}" name="Average Ambient[F]" dataDxfId="24" totalsRowDxfId="4"/>
    <tableColumn id="7" xr3:uid="{00000000-0010-0000-0000-000007000000}" name="Average Ambient[C]" dataDxfId="23" totalsRowDxfId="3"/>
    <tableColumn id="3" xr3:uid="{00000000-0010-0000-0000-000003000000}" name="Total Operating Hours" totalsRowFunction="custom" dataDxfId="22" totalsRowDxfId="2">
      <totalsRowFormula>SUM(D5:D27)</totalsRowFormula>
    </tableColumn>
    <tableColumn id="5" xr3:uid="{00000000-0010-0000-0000-000005000000}" name="kW" dataDxfId="21" totalsRowDxfId="1">
      <calculatedColumnFormula>'[1]YVAM chiller load reference'!D3</calculatedColumnFormula>
    </tableColumn>
    <tableColumn id="6" xr3:uid="{00000000-0010-0000-0000-000006000000}" name="Annual kW" totalsRowFunction="sum" dataDxfId="20" totalsRowDxfId="0">
      <calculatedColumnFormula>E5*Table1343[[#This Row],[Total Operating Hours]]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342" displayName="Table1342" ref="A4:F28" totalsRowCount="1" headerRowDxfId="19" dataDxfId="18">
  <autoFilter ref="A4:F27" xr:uid="{00000000-0009-0000-0100-000001000000}"/>
  <tableColumns count="6">
    <tableColumn id="1" xr3:uid="{00000000-0010-0000-0100-000001000000}" name="Bin Temp [F]" dataDxfId="17" totalsRowDxfId="16"/>
    <tableColumn id="4" xr3:uid="{00000000-0010-0000-0100-000004000000}" name="Average Ambient[F]" dataDxfId="15" totalsRowDxfId="14"/>
    <tableColumn id="7" xr3:uid="{00000000-0010-0000-0100-000007000000}" name="Average Ambient[C]" dataDxfId="13" totalsRowDxfId="12">
      <calculatedColumnFormula>(Table1342[[#This Row],[Average Ambient'[F']]]-32)/1.8</calculatedColumnFormula>
    </tableColumn>
    <tableColumn id="3" xr3:uid="{00000000-0010-0000-0100-000003000000}" name="Total Operating Hours" totalsRowFunction="custom" dataDxfId="11" totalsRowDxfId="10">
      <totalsRowFormula>SUM(D5:D27)</totalsRowFormula>
    </tableColumn>
    <tableColumn id="5" xr3:uid="{00000000-0010-0000-0100-000005000000}" name="kW" dataDxfId="9" totalsRowDxfId="8">
      <calculatedColumnFormula>'YVAM chiller load reference'!D3</calculatedColumnFormula>
    </tableColumn>
    <tableColumn id="6" xr3:uid="{00000000-0010-0000-0100-000006000000}" name="Annual kW" totalsRowFunction="sum" dataDxfId="7" totalsRowDxfId="6">
      <calculatedColumnFormula>E5*Table1342[[#This Row],[Total Operating Hours]]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29"/>
  <sheetViews>
    <sheetView tabSelected="1" zoomScale="85" zoomScaleNormal="85" workbookViewId="0">
      <selection activeCell="F15" sqref="F15"/>
    </sheetView>
  </sheetViews>
  <sheetFormatPr defaultRowHeight="14.4" x14ac:dyDescent="0.25"/>
  <cols>
    <col min="1" max="1" width="12.88671875" customWidth="1"/>
    <col min="2" max="3" width="11.5546875" customWidth="1"/>
    <col min="4" max="4" width="11.44140625" customWidth="1"/>
    <col min="5" max="5" width="10" customWidth="1"/>
    <col min="6" max="6" width="16.109375" bestFit="1" customWidth="1"/>
    <col min="7" max="7" width="8.21875" customWidth="1"/>
    <col min="8" max="8" width="14.109375" bestFit="1" customWidth="1"/>
    <col min="10" max="10" width="14.109375" bestFit="1" customWidth="1"/>
    <col min="11" max="11" width="12.88671875" customWidth="1"/>
    <col min="12" max="12" width="12.88671875" bestFit="1" customWidth="1"/>
    <col min="13" max="13" width="13" hidden="1" customWidth="1"/>
    <col min="14" max="14" width="12.88671875" hidden="1" customWidth="1"/>
    <col min="15" max="15" width="13.33203125" customWidth="1"/>
    <col min="16" max="16" width="12.88671875" bestFit="1" customWidth="1"/>
    <col min="17" max="17" width="12.88671875" hidden="1" customWidth="1"/>
    <col min="18" max="18" width="18.44140625" hidden="1" customWidth="1"/>
    <col min="20" max="20" width="13" customWidth="1"/>
    <col min="21" max="21" width="0" hidden="1" customWidth="1"/>
    <col min="22" max="22" width="11.33203125" hidden="1" customWidth="1"/>
    <col min="24" max="24" width="12.44140625" customWidth="1"/>
    <col min="25" max="25" width="0" hidden="1" customWidth="1"/>
    <col min="26" max="26" width="13.44140625" hidden="1" customWidth="1"/>
    <col min="28" max="28" width="12.88671875" bestFit="1" customWidth="1"/>
    <col min="29" max="29" width="0" hidden="1" customWidth="1"/>
    <col min="30" max="30" width="12.88671875" hidden="1" customWidth="1"/>
    <col min="31" max="31" width="10.5546875" customWidth="1"/>
    <col min="32" max="32" width="12.88671875" bestFit="1" customWidth="1"/>
    <col min="34" max="34" width="11.109375" customWidth="1"/>
  </cols>
  <sheetData>
    <row r="2" spans="1:34" ht="20.399999999999999" x14ac:dyDescent="0.25">
      <c r="A2" s="28" t="s">
        <v>33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</row>
    <row r="3" spans="1:34" ht="24.6" customHeight="1" x14ac:dyDescent="0.25">
      <c r="A3" s="27"/>
      <c r="B3" s="27"/>
      <c r="C3" s="27"/>
      <c r="D3" s="27"/>
      <c r="E3" s="25">
        <v>1</v>
      </c>
      <c r="F3" s="26"/>
      <c r="G3" s="25">
        <v>0.9</v>
      </c>
      <c r="H3" s="26"/>
      <c r="I3" s="25">
        <v>0.8</v>
      </c>
      <c r="J3" s="26"/>
      <c r="K3" s="25">
        <v>0.7</v>
      </c>
      <c r="L3" s="26"/>
      <c r="M3" s="25">
        <v>0.65</v>
      </c>
      <c r="N3" s="26"/>
      <c r="O3" s="25">
        <v>0.6</v>
      </c>
      <c r="P3" s="26"/>
      <c r="Q3" s="25">
        <v>0.55000000000000004</v>
      </c>
      <c r="R3" s="26"/>
      <c r="S3" s="25">
        <v>0.5</v>
      </c>
      <c r="T3" s="26"/>
      <c r="U3" s="25">
        <v>0.45</v>
      </c>
      <c r="V3" s="26"/>
      <c r="W3" s="25">
        <v>0.4</v>
      </c>
      <c r="X3" s="26"/>
      <c r="Y3" s="25">
        <v>0.35</v>
      </c>
      <c r="Z3" s="26"/>
      <c r="AA3" s="25">
        <v>0.3</v>
      </c>
      <c r="AB3" s="26"/>
      <c r="AC3" s="25">
        <v>0.25</v>
      </c>
      <c r="AD3" s="26"/>
      <c r="AE3" s="25">
        <v>0.2</v>
      </c>
      <c r="AF3" s="26"/>
      <c r="AG3" s="25">
        <v>0.15</v>
      </c>
      <c r="AH3" s="26"/>
    </row>
    <row r="4" spans="1:34" ht="37.200000000000003" customHeight="1" x14ac:dyDescent="0.25">
      <c r="A4" s="6" t="s">
        <v>22</v>
      </c>
      <c r="B4" s="6" t="s">
        <v>23</v>
      </c>
      <c r="C4" s="6" t="s">
        <v>24</v>
      </c>
      <c r="D4" s="6" t="s">
        <v>20</v>
      </c>
      <c r="E4" s="7" t="s">
        <v>26</v>
      </c>
      <c r="F4" s="7" t="s">
        <v>25</v>
      </c>
      <c r="G4" s="7" t="s">
        <v>10</v>
      </c>
      <c r="H4" s="7" t="s">
        <v>16</v>
      </c>
      <c r="I4" s="7" t="s">
        <v>10</v>
      </c>
      <c r="J4" s="7" t="s">
        <v>16</v>
      </c>
      <c r="K4" s="7" t="s">
        <v>10</v>
      </c>
      <c r="L4" s="7" t="s">
        <v>16</v>
      </c>
      <c r="M4" s="7" t="s">
        <v>10</v>
      </c>
      <c r="N4" s="7" t="s">
        <v>16</v>
      </c>
      <c r="O4" s="7" t="s">
        <v>10</v>
      </c>
      <c r="P4" s="7" t="s">
        <v>16</v>
      </c>
      <c r="Q4" s="7" t="s">
        <v>10</v>
      </c>
      <c r="R4" s="7" t="s">
        <v>16</v>
      </c>
      <c r="S4" s="7" t="s">
        <v>10</v>
      </c>
      <c r="T4" s="7" t="s">
        <v>16</v>
      </c>
      <c r="U4" s="7" t="s">
        <v>10</v>
      </c>
      <c r="V4" s="7" t="s">
        <v>16</v>
      </c>
      <c r="W4" s="7" t="s">
        <v>10</v>
      </c>
      <c r="X4" s="7" t="s">
        <v>16</v>
      </c>
      <c r="Y4" s="7" t="s">
        <v>10</v>
      </c>
      <c r="Z4" s="7" t="s">
        <v>16</v>
      </c>
      <c r="AA4" s="7" t="s">
        <v>10</v>
      </c>
      <c r="AB4" s="7" t="s">
        <v>16</v>
      </c>
      <c r="AC4" s="7" t="s">
        <v>10</v>
      </c>
      <c r="AD4" s="7" t="s">
        <v>16</v>
      </c>
      <c r="AE4" s="7" t="s">
        <v>10</v>
      </c>
      <c r="AF4" s="7" t="s">
        <v>16</v>
      </c>
      <c r="AG4" s="7" t="s">
        <v>10</v>
      </c>
      <c r="AH4" s="7" t="s">
        <v>16</v>
      </c>
    </row>
    <row r="5" spans="1:34" x14ac:dyDescent="0.25">
      <c r="A5" s="17" t="s">
        <v>18</v>
      </c>
      <c r="B5" s="4">
        <f>B6+5</f>
        <v>112.5</v>
      </c>
      <c r="C5" s="5">
        <v>44.722222222222221</v>
      </c>
      <c r="D5" s="17">
        <v>1</v>
      </c>
      <c r="E5" s="16">
        <f>'[1]YVAM chiller load reference'!D3</f>
        <v>380.4</v>
      </c>
      <c r="F5" s="11">
        <f>E5*Table1343[[#This Row],[Total Operating Hours]]</f>
        <v>380.4</v>
      </c>
      <c r="G5" s="11">
        <f>'[1]YVAM chiller load reference'!L3</f>
        <v>350.3</v>
      </c>
      <c r="H5" s="11">
        <f>G5*Table1343[[#This Row],[Total Operating Hours]]</f>
        <v>350.3</v>
      </c>
      <c r="I5" s="11">
        <f>'[1]YVAM chiller load reference'!S3</f>
        <v>312</v>
      </c>
      <c r="J5" s="11">
        <f>I5*Table1343[[#This Row],[Total Operating Hours]]</f>
        <v>312</v>
      </c>
      <c r="K5" s="11">
        <f>'[1]YVAM chiller load reference'!Z3</f>
        <v>274.60000000000002</v>
      </c>
      <c r="L5" s="11">
        <f>K5*Table1343[[#This Row],[Total Operating Hours]]</f>
        <v>274.60000000000002</v>
      </c>
      <c r="M5" s="11">
        <f>'[1]YVAM chiller load reference'!BD3</f>
        <v>259.5</v>
      </c>
      <c r="N5" s="11">
        <f>M5*Table1343[[#This Row],[Total Operating Hours]]</f>
        <v>259.5</v>
      </c>
      <c r="O5" s="11">
        <f>'[1]YVAM chiller load reference'!AG3</f>
        <v>240.2</v>
      </c>
      <c r="P5" s="11">
        <f>O5*Table1343[[#This Row],[Total Operating Hours]]</f>
        <v>240.2</v>
      </c>
      <c r="Q5" s="11">
        <f>'[1]YVAM chiller load reference'!BR3</f>
        <v>240.5</v>
      </c>
      <c r="R5" s="11">
        <f>Q5*Table1343[[#This Row],[Total Operating Hours]]</f>
        <v>240.5</v>
      </c>
      <c r="S5" s="11">
        <f>'[1]YVAM chiller load reference'!AN3</f>
        <v>208.9</v>
      </c>
      <c r="T5" s="11">
        <f>S5*Table1343[[#This Row],[Total Operating Hours]]</f>
        <v>208.9</v>
      </c>
      <c r="U5" s="11">
        <f>'[1]YVAM chiller load reference'!CF3</f>
        <v>0</v>
      </c>
      <c r="V5" s="11">
        <f>U5*Table1343[[#This Row],[Total Operating Hours]]</f>
        <v>0</v>
      </c>
      <c r="W5" s="11">
        <f>'[1]YVAM chiller load reference'!AU3</f>
        <v>181.6</v>
      </c>
      <c r="X5" s="11">
        <f>W5*Table1343[[#This Row],[Total Operating Hours]]</f>
        <v>181.6</v>
      </c>
      <c r="Y5" s="11">
        <f>'[1]YVAM chiller load reference'!CT3</f>
        <v>0</v>
      </c>
      <c r="Z5" s="11">
        <f>Y5*Table1343[[#This Row],[Total Operating Hours]]</f>
        <v>0</v>
      </c>
      <c r="AA5" s="11">
        <f>'[1]YVAM chiller load reference'!BB3</f>
        <v>158.6</v>
      </c>
      <c r="AB5" s="11">
        <f>AA5*Table1343[[#This Row],[Total Operating Hours]]</f>
        <v>158.6</v>
      </c>
      <c r="AC5" s="11">
        <f>'[1]YVAM chiller load reference'!DH3</f>
        <v>0</v>
      </c>
      <c r="AD5" s="11">
        <f>AC5*Table1343[[#This Row],[Total Operating Hours]]</f>
        <v>0</v>
      </c>
      <c r="AE5" s="11">
        <f>'[1]YVAM chiller load reference'!BI3</f>
        <v>139</v>
      </c>
      <c r="AF5" s="11">
        <f>AE5*Table1343[[#This Row],[Total Operating Hours]]</f>
        <v>139</v>
      </c>
      <c r="AG5" s="11">
        <f>'[1]YVAM chiller load reference'!BP3</f>
        <v>146.19999999999999</v>
      </c>
      <c r="AH5" s="11">
        <f>AG5*Table1343[[#This Row],[Total Operating Hours]]</f>
        <v>146.19999999999999</v>
      </c>
    </row>
    <row r="6" spans="1:34" x14ac:dyDescent="0.25">
      <c r="A6" s="17" t="s">
        <v>17</v>
      </c>
      <c r="B6" s="4">
        <f>B7+5</f>
        <v>107.5</v>
      </c>
      <c r="C6" s="5">
        <v>41.944444444444443</v>
      </c>
      <c r="D6" s="17">
        <v>24</v>
      </c>
      <c r="E6" s="16">
        <f>'[1]YVAM chiller load reference'!D4</f>
        <v>341.1</v>
      </c>
      <c r="F6" s="16">
        <f>E6*Table1343[[#This Row],[Total Operating Hours]]</f>
        <v>8186.4000000000005</v>
      </c>
      <c r="G6" s="11">
        <f>'[1]YVAM chiller load reference'!L4</f>
        <v>313.7</v>
      </c>
      <c r="H6" s="16">
        <f>G6*Table1343[[#This Row],[Total Operating Hours]]</f>
        <v>7528.7999999999993</v>
      </c>
      <c r="I6" s="11">
        <f>'[1]YVAM chiller load reference'!S4</f>
        <v>277.60000000000002</v>
      </c>
      <c r="J6" s="16">
        <f>I6*Table1343[[#This Row],[Total Operating Hours]]</f>
        <v>6662.4000000000005</v>
      </c>
      <c r="K6" s="11">
        <f>'[1]YVAM chiller load reference'!Z4</f>
        <v>244.5</v>
      </c>
      <c r="L6" s="16">
        <f>K6*Table1343[[#This Row],[Total Operating Hours]]</f>
        <v>5868</v>
      </c>
      <c r="M6" s="16">
        <f>'[1]YVAM chiller load reference'!BD4</f>
        <v>237.5</v>
      </c>
      <c r="N6" s="16">
        <f>M6*Table1343[[#This Row],[Total Operating Hours]]</f>
        <v>5700</v>
      </c>
      <c r="O6" s="11">
        <f>'[1]YVAM chiller load reference'!AG4</f>
        <v>213.9</v>
      </c>
      <c r="P6" s="16">
        <f>O6*Table1343[[#This Row],[Total Operating Hours]]</f>
        <v>5133.6000000000004</v>
      </c>
      <c r="Q6" s="16">
        <f>'[1]YVAM chiller load reference'!BR4</f>
        <v>215.5</v>
      </c>
      <c r="R6" s="16">
        <f>Q6*Table1343[[#This Row],[Total Operating Hours]]</f>
        <v>5172</v>
      </c>
      <c r="S6" s="11">
        <f>'[1]YVAM chiller load reference'!AN4</f>
        <v>185.7</v>
      </c>
      <c r="T6" s="16">
        <f>S6*Table1343[[#This Row],[Total Operating Hours]]</f>
        <v>4456.7999999999993</v>
      </c>
      <c r="U6" s="16">
        <f>'[1]YVAM chiller load reference'!CF4</f>
        <v>0</v>
      </c>
      <c r="V6" s="16">
        <f>U6*Table1343[[#This Row],[Total Operating Hours]]</f>
        <v>0</v>
      </c>
      <c r="W6" s="11">
        <f>'[1]YVAM chiller load reference'!AU4</f>
        <v>161.4</v>
      </c>
      <c r="X6" s="16">
        <f>W6*Table1343[[#This Row],[Total Operating Hours]]</f>
        <v>3873.6000000000004</v>
      </c>
      <c r="Y6" s="16">
        <f>'[1]YVAM chiller load reference'!CT4</f>
        <v>0</v>
      </c>
      <c r="Z6" s="16">
        <f>Y6*Table1343[[#This Row],[Total Operating Hours]]</f>
        <v>0</v>
      </c>
      <c r="AA6" s="11">
        <f>'[1]YVAM chiller load reference'!BB4</f>
        <v>142.30000000000001</v>
      </c>
      <c r="AB6" s="16">
        <f>AA6*Table1343[[#This Row],[Total Operating Hours]]</f>
        <v>3415.2000000000003</v>
      </c>
      <c r="AC6" s="16">
        <f>'[1]YVAM chiller load reference'!DH4</f>
        <v>0</v>
      </c>
      <c r="AD6" s="16">
        <f>AC6*Table1343[[#This Row],[Total Operating Hours]]</f>
        <v>0</v>
      </c>
      <c r="AE6" s="11">
        <f>'[1]YVAM chiller load reference'!BI4</f>
        <v>123</v>
      </c>
      <c r="AF6" s="16">
        <f>AE6*Table1343[[#This Row],[Total Operating Hours]]</f>
        <v>2952</v>
      </c>
      <c r="AG6" s="11">
        <f>'[1]YVAM chiller load reference'!BP4</f>
        <v>119.5</v>
      </c>
      <c r="AH6" s="16">
        <f>AG6*Table1343[[#This Row],[Total Operating Hours]]</f>
        <v>2868</v>
      </c>
    </row>
    <row r="7" spans="1:34" x14ac:dyDescent="0.25">
      <c r="A7" s="17" t="s">
        <v>19</v>
      </c>
      <c r="B7" s="4">
        <f>B8+5</f>
        <v>102.5</v>
      </c>
      <c r="C7" s="5">
        <v>39.166666666666664</v>
      </c>
      <c r="D7" s="17">
        <v>118</v>
      </c>
      <c r="E7" s="16">
        <f>'[1]YVAM chiller load reference'!D5</f>
        <v>305.39999999999998</v>
      </c>
      <c r="F7" s="16">
        <f>E7*Table1343[[#This Row],[Total Operating Hours]]</f>
        <v>36037.199999999997</v>
      </c>
      <c r="G7" s="11">
        <f>'[1]YVAM chiller load reference'!L5</f>
        <v>280.39999999999998</v>
      </c>
      <c r="H7" s="11">
        <f>G7*Table1343[[#This Row],[Total Operating Hours]]</f>
        <v>33087.199999999997</v>
      </c>
      <c r="I7" s="11">
        <f>'[1]YVAM chiller load reference'!S5</f>
        <v>246.9</v>
      </c>
      <c r="J7" s="11">
        <f>I7*Table1343[[#This Row],[Total Operating Hours]]</f>
        <v>29134.2</v>
      </c>
      <c r="K7" s="11">
        <f>'[1]YVAM chiller load reference'!Z5</f>
        <v>216.7</v>
      </c>
      <c r="L7" s="11">
        <f>K7*Table1343[[#This Row],[Total Operating Hours]]</f>
        <v>25570.6</v>
      </c>
      <c r="M7" s="11">
        <f>'[1]YVAM chiller load reference'!BD5</f>
        <v>214.5</v>
      </c>
      <c r="N7" s="11">
        <f>M7*Table1343[[#This Row],[Total Operating Hours]]</f>
        <v>25311</v>
      </c>
      <c r="O7" s="11">
        <f>'[1]YVAM chiller load reference'!AG5</f>
        <v>190</v>
      </c>
      <c r="P7" s="11">
        <f>O7*Table1343[[#This Row],[Total Operating Hours]]</f>
        <v>22420</v>
      </c>
      <c r="Q7" s="11">
        <f>'[1]YVAM chiller load reference'!BR5</f>
        <v>196.5</v>
      </c>
      <c r="R7" s="11">
        <f>Q7*Table1343[[#This Row],[Total Operating Hours]]</f>
        <v>23187</v>
      </c>
      <c r="S7" s="11">
        <f>'[1]YVAM chiller load reference'!AN5</f>
        <v>164.7</v>
      </c>
      <c r="T7" s="11">
        <f>S7*Table1343[[#This Row],[Total Operating Hours]]</f>
        <v>19434.599999999999</v>
      </c>
      <c r="U7" s="11">
        <f>'[1]YVAM chiller load reference'!CF5</f>
        <v>0</v>
      </c>
      <c r="V7" s="11">
        <f>U7*Table1343[[#This Row],[Total Operating Hours]]</f>
        <v>0</v>
      </c>
      <c r="W7" s="11">
        <f>'[1]YVAM chiller load reference'!AU5</f>
        <v>142.4</v>
      </c>
      <c r="X7" s="11">
        <f>W7*Table1343[[#This Row],[Total Operating Hours]]</f>
        <v>16803.2</v>
      </c>
      <c r="Y7" s="11">
        <f>'[1]YVAM chiller load reference'!CT5</f>
        <v>0</v>
      </c>
      <c r="Z7" s="11">
        <f>Y7*Table1343[[#This Row],[Total Operating Hours]]</f>
        <v>0</v>
      </c>
      <c r="AA7" s="11">
        <f>'[1]YVAM chiller load reference'!BB5</f>
        <v>123.2</v>
      </c>
      <c r="AB7" s="11">
        <f>AA7*Table1343[[#This Row],[Total Operating Hours]]</f>
        <v>14537.6</v>
      </c>
      <c r="AC7" s="11">
        <f>'[1]YVAM chiller load reference'!DH5</f>
        <v>0</v>
      </c>
      <c r="AD7" s="11">
        <f>AC7*Table1343[[#This Row],[Total Operating Hours]]</f>
        <v>0</v>
      </c>
      <c r="AE7" s="11">
        <f>'[1]YVAM chiller load reference'!BI5</f>
        <v>109.6</v>
      </c>
      <c r="AF7" s="11">
        <f>AE7*Table1343[[#This Row],[Total Operating Hours]]</f>
        <v>12932.8</v>
      </c>
      <c r="AG7" s="11">
        <f>'[1]YVAM chiller load reference'!BP5</f>
        <v>103.9</v>
      </c>
      <c r="AH7" s="11">
        <f>AG7*Table1343[[#This Row],[Total Operating Hours]]</f>
        <v>12260.2</v>
      </c>
    </row>
    <row r="8" spans="1:34" x14ac:dyDescent="0.25">
      <c r="A8" s="17" t="s">
        <v>0</v>
      </c>
      <c r="B8" s="4">
        <v>97.5</v>
      </c>
      <c r="C8" s="5">
        <v>36.388888888888886</v>
      </c>
      <c r="D8" s="17">
        <v>283</v>
      </c>
      <c r="E8" s="16">
        <f>'[1]YVAM chiller load reference'!D6</f>
        <v>273.2</v>
      </c>
      <c r="F8" s="16">
        <f>E8*Table1343[[#This Row],[Total Operating Hours]]</f>
        <v>77315.599999999991</v>
      </c>
      <c r="G8" s="11">
        <f>'[1]YVAM chiller load reference'!L6</f>
        <v>249.9</v>
      </c>
      <c r="H8" s="16">
        <f>G8*Table1343[[#This Row],[Total Operating Hours]]</f>
        <v>70721.7</v>
      </c>
      <c r="I8" s="11">
        <f>'[1]YVAM chiller load reference'!S6</f>
        <v>220.7</v>
      </c>
      <c r="J8" s="16">
        <f>I8*Table1343[[#This Row],[Total Operating Hours]]</f>
        <v>62458.1</v>
      </c>
      <c r="K8" s="11">
        <f>'[1]YVAM chiller load reference'!Z6</f>
        <v>192.6</v>
      </c>
      <c r="L8" s="16">
        <f>K8*Table1343[[#This Row],[Total Operating Hours]]</f>
        <v>54505.799999999996</v>
      </c>
      <c r="M8" s="16">
        <f>'[1]YVAM chiller load reference'!BD6</f>
        <v>189.5</v>
      </c>
      <c r="N8" s="16">
        <f>M8*Table1343[[#This Row],[Total Operating Hours]]</f>
        <v>53628.5</v>
      </c>
      <c r="O8" s="11">
        <f>'[1]YVAM chiller load reference'!AG6</f>
        <v>166.5</v>
      </c>
      <c r="P8" s="16">
        <f>O8*Table1343[[#This Row],[Total Operating Hours]]</f>
        <v>47119.5</v>
      </c>
      <c r="Q8" s="16">
        <f>'[1]YVAM chiller load reference'!BR6</f>
        <v>179.5</v>
      </c>
      <c r="R8" s="16">
        <f>Q8*Table1343[[#This Row],[Total Operating Hours]]</f>
        <v>50798.5</v>
      </c>
      <c r="S8" s="11">
        <f>'[1]YVAM chiller load reference'!AN6</f>
        <v>142.6</v>
      </c>
      <c r="T8" s="16">
        <f>S8*Table1343[[#This Row],[Total Operating Hours]]</f>
        <v>40355.799999999996</v>
      </c>
      <c r="U8" s="16">
        <f>'[1]YVAM chiller load reference'!CF6</f>
        <v>0</v>
      </c>
      <c r="V8" s="16">
        <f>U8*Table1343[[#This Row],[Total Operating Hours]]</f>
        <v>0</v>
      </c>
      <c r="W8" s="11">
        <f>'[1]YVAM chiller load reference'!AU6</f>
        <v>121.2</v>
      </c>
      <c r="X8" s="16">
        <f>W8*Table1343[[#This Row],[Total Operating Hours]]</f>
        <v>34299.599999999999</v>
      </c>
      <c r="Y8" s="16">
        <f>'[1]YVAM chiller load reference'!CT6</f>
        <v>0</v>
      </c>
      <c r="Z8" s="16">
        <f>Y8*Table1343[[#This Row],[Total Operating Hours]]</f>
        <v>0</v>
      </c>
      <c r="AA8" s="11">
        <f>'[1]YVAM chiller load reference'!BB6</f>
        <v>101.2</v>
      </c>
      <c r="AB8" s="16">
        <f>AA8*Table1343[[#This Row],[Total Operating Hours]]</f>
        <v>28639.600000000002</v>
      </c>
      <c r="AC8" s="16">
        <f>'[1]YVAM chiller load reference'!DH6</f>
        <v>0</v>
      </c>
      <c r="AD8" s="16">
        <f>AC8*Table1343[[#This Row],[Total Operating Hours]]</f>
        <v>0</v>
      </c>
      <c r="AE8" s="11">
        <f>'[1]YVAM chiller load reference'!BI6</f>
        <v>93.83</v>
      </c>
      <c r="AF8" s="16">
        <f>AE8*Table1343[[#This Row],[Total Operating Hours]]</f>
        <v>26553.89</v>
      </c>
      <c r="AG8" s="11">
        <f>'[1]YVAM chiller load reference'!BP6</f>
        <v>90.71</v>
      </c>
      <c r="AH8" s="16">
        <f>AG8*Table1343[[#This Row],[Total Operating Hours]]</f>
        <v>25670.929999999997</v>
      </c>
    </row>
    <row r="9" spans="1:34" x14ac:dyDescent="0.25">
      <c r="A9" s="17" t="s">
        <v>2</v>
      </c>
      <c r="B9" s="4">
        <f>B8-5</f>
        <v>92.5</v>
      </c>
      <c r="C9" s="5">
        <v>33.611111111111107</v>
      </c>
      <c r="D9" s="17">
        <v>320</v>
      </c>
      <c r="E9" s="16">
        <f>'[1]YVAM chiller load reference'!D7</f>
        <v>254</v>
      </c>
      <c r="F9" s="16">
        <f>E9*Table1343[[#This Row],[Total Operating Hours]]</f>
        <v>81280</v>
      </c>
      <c r="G9" s="11">
        <f>'[1]YVAM chiller load reference'!L7</f>
        <v>231.4</v>
      </c>
      <c r="H9" s="11">
        <f>G9*Table1343[[#This Row],[Total Operating Hours]]</f>
        <v>74048</v>
      </c>
      <c r="I9" s="11">
        <f>'[1]YVAM chiller load reference'!S7</f>
        <v>202.7</v>
      </c>
      <c r="J9" s="11">
        <f>I9*Table1343[[#This Row],[Total Operating Hours]]</f>
        <v>64864</v>
      </c>
      <c r="K9" s="11">
        <f>'[1]YVAM chiller load reference'!Z7</f>
        <v>175.5</v>
      </c>
      <c r="L9" s="11">
        <f>K9*Table1343[[#This Row],[Total Operating Hours]]</f>
        <v>56160</v>
      </c>
      <c r="M9" s="11">
        <f>'[1]YVAM chiller load reference'!BD7</f>
        <v>177.5</v>
      </c>
      <c r="N9" s="11">
        <f>M9*Table1343[[#This Row],[Total Operating Hours]]</f>
        <v>56800</v>
      </c>
      <c r="O9" s="11">
        <f>'[1]YVAM chiller load reference'!AG7</f>
        <v>151.4</v>
      </c>
      <c r="P9" s="11">
        <f>O9*Table1343[[#This Row],[Total Operating Hours]]</f>
        <v>48448</v>
      </c>
      <c r="Q9" s="11">
        <f>'[1]YVAM chiller load reference'!BR7</f>
        <v>167.5</v>
      </c>
      <c r="R9" s="11">
        <f>Q9*Table1343[[#This Row],[Total Operating Hours]]</f>
        <v>53600</v>
      </c>
      <c r="S9" s="11">
        <f>'[1]YVAM chiller load reference'!AN7</f>
        <v>129.30000000000001</v>
      </c>
      <c r="T9" s="11">
        <f>S9*Table1343[[#This Row],[Total Operating Hours]]</f>
        <v>41376</v>
      </c>
      <c r="U9" s="11">
        <f>'[1]YVAM chiller load reference'!CF7</f>
        <v>0</v>
      </c>
      <c r="V9" s="11">
        <f>U9*Table1343[[#This Row],[Total Operating Hours]]</f>
        <v>0</v>
      </c>
      <c r="W9" s="11">
        <f>'[1]YVAM chiller load reference'!AU7</f>
        <v>109.8</v>
      </c>
      <c r="X9" s="11">
        <f>W9*Table1343[[#This Row],[Total Operating Hours]]</f>
        <v>35136</v>
      </c>
      <c r="Y9" s="11">
        <f>'[1]YVAM chiller load reference'!CT7</f>
        <v>0</v>
      </c>
      <c r="Z9" s="11">
        <f>Y9*Table1343[[#This Row],[Total Operating Hours]]</f>
        <v>0</v>
      </c>
      <c r="AA9" s="11">
        <f>'[1]YVAM chiller load reference'!BB7</f>
        <v>91.72</v>
      </c>
      <c r="AB9" s="11">
        <f>AA9*Table1343[[#This Row],[Total Operating Hours]]</f>
        <v>29350.400000000001</v>
      </c>
      <c r="AC9" s="11">
        <f>'[1]YVAM chiller load reference'!DH7</f>
        <v>0</v>
      </c>
      <c r="AD9" s="11">
        <f>AC9*Table1343[[#This Row],[Total Operating Hours]]</f>
        <v>0</v>
      </c>
      <c r="AE9" s="11">
        <f>'[1]YVAM chiller load reference'!BI7</f>
        <v>80.73</v>
      </c>
      <c r="AF9" s="11">
        <f>AE9*Table1343[[#This Row],[Total Operating Hours]]</f>
        <v>25833.600000000002</v>
      </c>
      <c r="AG9" s="11">
        <f>'[1]YVAM chiller load reference'!BP7</f>
        <v>81.25</v>
      </c>
      <c r="AH9" s="11">
        <f>AG9*Table1343[[#This Row],[Total Operating Hours]]</f>
        <v>26000</v>
      </c>
    </row>
    <row r="10" spans="1:34" x14ac:dyDescent="0.25">
      <c r="A10" s="17" t="s">
        <v>6</v>
      </c>
      <c r="B10" s="4">
        <f t="shared" ref="B10:B27" si="0">B9-5</f>
        <v>87.5</v>
      </c>
      <c r="C10" s="5">
        <v>30.833333333333332</v>
      </c>
      <c r="D10" s="17">
        <v>652</v>
      </c>
      <c r="E10" s="16">
        <f>'[1]YVAM chiller load reference'!D8</f>
        <v>226.3</v>
      </c>
      <c r="F10" s="16">
        <f>E10*Table1343[[#This Row],[Total Operating Hours]]</f>
        <v>147547.6</v>
      </c>
      <c r="G10" s="11">
        <f>'[1]YVAM chiller load reference'!L8</f>
        <v>205</v>
      </c>
      <c r="H10" s="16">
        <f>G10*Table1343[[#This Row],[Total Operating Hours]]</f>
        <v>133660</v>
      </c>
      <c r="I10" s="11">
        <f>'[1]YVAM chiller load reference'!S8</f>
        <v>178.7</v>
      </c>
      <c r="J10" s="16">
        <f>I10*Table1343[[#This Row],[Total Operating Hours]]</f>
        <v>116512.4</v>
      </c>
      <c r="K10" s="11">
        <f>'[1]YVAM chiller load reference'!Z8</f>
        <v>154.69999999999999</v>
      </c>
      <c r="L10" s="16">
        <f>K10*Table1343[[#This Row],[Total Operating Hours]]</f>
        <v>100864.4</v>
      </c>
      <c r="M10" s="16">
        <f>'[1]YVAM chiller load reference'!BD8</f>
        <v>160.5</v>
      </c>
      <c r="N10" s="16">
        <f>M10*Table1343[[#This Row],[Total Operating Hours]]</f>
        <v>104646</v>
      </c>
      <c r="O10" s="11">
        <f>'[1]YVAM chiller load reference'!AG8</f>
        <v>131.9</v>
      </c>
      <c r="P10" s="16">
        <f>O10*Table1343[[#This Row],[Total Operating Hours]]</f>
        <v>85998.8</v>
      </c>
      <c r="Q10" s="16">
        <f>'[1]YVAM chiller load reference'!BR8</f>
        <v>148.5</v>
      </c>
      <c r="R10" s="16">
        <f>Q10*Table1343[[#This Row],[Total Operating Hours]]</f>
        <v>96822</v>
      </c>
      <c r="S10" s="11">
        <f>'[1]YVAM chiller load reference'!AN8</f>
        <v>111.5</v>
      </c>
      <c r="T10" s="16">
        <f>S10*Table1343[[#This Row],[Total Operating Hours]]</f>
        <v>72698</v>
      </c>
      <c r="U10" s="16">
        <f>'[1]YVAM chiller load reference'!CF8</f>
        <v>0</v>
      </c>
      <c r="V10" s="16">
        <f>U10*Table1343[[#This Row],[Total Operating Hours]]</f>
        <v>0</v>
      </c>
      <c r="W10" s="11">
        <f>'[1]YVAM chiller load reference'!AU8</f>
        <v>93.49</v>
      </c>
      <c r="X10" s="16">
        <f>W10*Table1343[[#This Row],[Total Operating Hours]]</f>
        <v>60955.479999999996</v>
      </c>
      <c r="Y10" s="16">
        <f>'[1]YVAM chiller load reference'!CT8</f>
        <v>0</v>
      </c>
      <c r="Z10" s="16">
        <f>Y10*Table1343[[#This Row],[Total Operating Hours]]</f>
        <v>0</v>
      </c>
      <c r="AA10" s="11">
        <f>'[1]YVAM chiller load reference'!BB8</f>
        <v>77.81</v>
      </c>
      <c r="AB10" s="16">
        <f>AA10*Table1343[[#This Row],[Total Operating Hours]]</f>
        <v>50732.12</v>
      </c>
      <c r="AC10" s="16">
        <f>'[1]YVAM chiller load reference'!DH8</f>
        <v>0</v>
      </c>
      <c r="AD10" s="16">
        <f>AC10*Table1343[[#This Row],[Total Operating Hours]]</f>
        <v>0</v>
      </c>
      <c r="AE10" s="11">
        <f>'[1]YVAM chiller load reference'!BI8</f>
        <v>67.13</v>
      </c>
      <c r="AF10" s="16">
        <f>AE10*Table1343[[#This Row],[Total Operating Hours]]</f>
        <v>43768.759999999995</v>
      </c>
      <c r="AG10" s="11">
        <f>'[1]YVAM chiller load reference'!BP8</f>
        <v>66.349999999999994</v>
      </c>
      <c r="AH10" s="16">
        <f>AG10*Table1343[[#This Row],[Total Operating Hours]]</f>
        <v>43260.2</v>
      </c>
    </row>
    <row r="11" spans="1:34" x14ac:dyDescent="0.25">
      <c r="A11" s="17" t="s">
        <v>1</v>
      </c>
      <c r="B11" s="4">
        <f t="shared" si="0"/>
        <v>82.5</v>
      </c>
      <c r="C11" s="5">
        <v>28.055555555555554</v>
      </c>
      <c r="D11" s="17">
        <v>802</v>
      </c>
      <c r="E11" s="16">
        <f>'[1]YVAM chiller load reference'!D9</f>
        <v>201.8</v>
      </c>
      <c r="F11" s="16">
        <f>E11*Table1343[[#This Row],[Total Operating Hours]]</f>
        <v>161843.6</v>
      </c>
      <c r="G11" s="11">
        <f>'[1]YVAM chiller load reference'!L9</f>
        <v>181.4</v>
      </c>
      <c r="H11" s="11">
        <f>G11*Table1343[[#This Row],[Total Operating Hours]]</f>
        <v>145482.80000000002</v>
      </c>
      <c r="I11" s="11">
        <f>'[1]YVAM chiller load reference'!S9</f>
        <v>156.9</v>
      </c>
      <c r="J11" s="11">
        <f>I11*Table1343[[#This Row],[Total Operating Hours]]</f>
        <v>125833.8</v>
      </c>
      <c r="K11" s="11">
        <f>'[1]YVAM chiller load reference'!Z9</f>
        <v>134.30000000000001</v>
      </c>
      <c r="L11" s="11">
        <f>K11*Table1343[[#This Row],[Total Operating Hours]]</f>
        <v>107708.6</v>
      </c>
      <c r="M11" s="11">
        <f>'[1]YVAM chiller load reference'!BD9</f>
        <v>143.5</v>
      </c>
      <c r="N11" s="11">
        <f>M11*Table1343[[#This Row],[Total Operating Hours]]</f>
        <v>115087</v>
      </c>
      <c r="O11" s="11">
        <f>'[1]YVAM chiller load reference'!AG9</f>
        <v>113.7</v>
      </c>
      <c r="P11" s="11">
        <f>O11*Table1343[[#This Row],[Total Operating Hours]]</f>
        <v>91187.400000000009</v>
      </c>
      <c r="Q11" s="11">
        <f>'[1]YVAM chiller load reference'!BR9</f>
        <v>132.5</v>
      </c>
      <c r="R11" s="11">
        <f>Q11*Table1343[[#This Row],[Total Operating Hours]]</f>
        <v>106265</v>
      </c>
      <c r="S11" s="11">
        <f>'[1]YVAM chiller load reference'!AN9</f>
        <v>95.33</v>
      </c>
      <c r="T11" s="11">
        <f>S11*Table1343[[#This Row],[Total Operating Hours]]</f>
        <v>76454.66</v>
      </c>
      <c r="U11" s="11">
        <f>'[1]YVAM chiller load reference'!CF9</f>
        <v>0</v>
      </c>
      <c r="V11" s="11">
        <f>U11*Table1343[[#This Row],[Total Operating Hours]]</f>
        <v>0</v>
      </c>
      <c r="W11" s="11">
        <f>'[1]YVAM chiller load reference'!AU9</f>
        <v>78.95</v>
      </c>
      <c r="X11" s="11">
        <f>W11*Table1343[[#This Row],[Total Operating Hours]]</f>
        <v>63317.9</v>
      </c>
      <c r="Y11" s="11">
        <f>'[1]YVAM chiller load reference'!CT9</f>
        <v>0</v>
      </c>
      <c r="Z11" s="11">
        <f>Y11*Table1343[[#This Row],[Total Operating Hours]]</f>
        <v>0</v>
      </c>
      <c r="AA11" s="11">
        <f>'[1]YVAM chiller load reference'!BB9</f>
        <v>64.53</v>
      </c>
      <c r="AB11" s="11">
        <f>AA11*Table1343[[#This Row],[Total Operating Hours]]</f>
        <v>51753.06</v>
      </c>
      <c r="AC11" s="11">
        <f>'[1]YVAM chiller load reference'!DH9</f>
        <v>0</v>
      </c>
      <c r="AD11" s="11">
        <f>AC11*Table1343[[#This Row],[Total Operating Hours]]</f>
        <v>0</v>
      </c>
      <c r="AE11" s="11">
        <f>'[1]YVAM chiller load reference'!BI9</f>
        <v>53.21</v>
      </c>
      <c r="AF11" s="11">
        <f>AE11*Table1343[[#This Row],[Total Operating Hours]]</f>
        <v>42674.42</v>
      </c>
      <c r="AG11" s="11">
        <f>'[1]YVAM chiller load reference'!BP9</f>
        <v>52.03</v>
      </c>
      <c r="AH11" s="11">
        <f>AG11*Table1343[[#This Row],[Total Operating Hours]]</f>
        <v>41728.06</v>
      </c>
    </row>
    <row r="12" spans="1:34" x14ac:dyDescent="0.25">
      <c r="A12" s="17" t="s">
        <v>5</v>
      </c>
      <c r="B12" s="4">
        <f t="shared" si="0"/>
        <v>77.5</v>
      </c>
      <c r="C12" s="5">
        <v>25.277777777777779</v>
      </c>
      <c r="D12" s="17">
        <v>977</v>
      </c>
      <c r="E12" s="16">
        <f>'[1]YVAM chiller load reference'!D10</f>
        <v>178.2</v>
      </c>
      <c r="F12" s="16">
        <f>E12*Table1343[[#This Row],[Total Operating Hours]]</f>
        <v>174101.4</v>
      </c>
      <c r="G12" s="11">
        <f>'[1]YVAM chiller load reference'!L10</f>
        <v>159.80000000000001</v>
      </c>
      <c r="H12" s="16">
        <f>G12*Table1343[[#This Row],[Total Operating Hours]]</f>
        <v>156124.6</v>
      </c>
      <c r="I12" s="11">
        <f>'[1]YVAM chiller load reference'!S10</f>
        <v>137.30000000000001</v>
      </c>
      <c r="J12" s="16">
        <f>I12*Table1343[[#This Row],[Total Operating Hours]]</f>
        <v>134142.1</v>
      </c>
      <c r="K12" s="11">
        <f>'[1]YVAM chiller load reference'!Z10</f>
        <v>116.5</v>
      </c>
      <c r="L12" s="16">
        <f>K12*Table1343[[#This Row],[Total Operating Hours]]</f>
        <v>113820.5</v>
      </c>
      <c r="M12" s="16">
        <f>'[1]YVAM chiller load reference'!BD10</f>
        <v>129.5</v>
      </c>
      <c r="N12" s="16">
        <f>M12*Table1343[[#This Row],[Total Operating Hours]]</f>
        <v>126521.5</v>
      </c>
      <c r="O12" s="11">
        <f>'[1]YVAM chiller load reference'!AG10</f>
        <v>97.59</v>
      </c>
      <c r="P12" s="16">
        <f>O12*Table1343[[#This Row],[Total Operating Hours]]</f>
        <v>95345.430000000008</v>
      </c>
      <c r="Q12" s="16">
        <f>'[1]YVAM chiller load reference'!BR10</f>
        <v>113.5</v>
      </c>
      <c r="R12" s="16">
        <f>Q12*Table1343[[#This Row],[Total Operating Hours]]</f>
        <v>110889.5</v>
      </c>
      <c r="S12" s="11">
        <f>'[1]YVAM chiller load reference'!AN10</f>
        <v>80.81</v>
      </c>
      <c r="T12" s="16">
        <f>S12*Table1343[[#This Row],[Total Operating Hours]]</f>
        <v>78951.37</v>
      </c>
      <c r="U12" s="16">
        <f>'[1]YVAM chiller load reference'!CF10</f>
        <v>0</v>
      </c>
      <c r="V12" s="16">
        <f>U12*Table1343[[#This Row],[Total Operating Hours]]</f>
        <v>0</v>
      </c>
      <c r="W12" s="11">
        <f>'[1]YVAM chiller load reference'!AU10</f>
        <v>65.319999999999993</v>
      </c>
      <c r="X12" s="16">
        <f>W12*Table1343[[#This Row],[Total Operating Hours]]</f>
        <v>63817.639999999992</v>
      </c>
      <c r="Y12" s="16">
        <f>'[1]YVAM chiller load reference'!CT10</f>
        <v>0</v>
      </c>
      <c r="Z12" s="16">
        <f>Y12*Table1343[[#This Row],[Total Operating Hours]]</f>
        <v>0</v>
      </c>
      <c r="AA12" s="11">
        <f>'[1]YVAM chiller load reference'!BB10</f>
        <v>51.95</v>
      </c>
      <c r="AB12" s="16">
        <f>AA12*Table1343[[#This Row],[Total Operating Hours]]</f>
        <v>50755.15</v>
      </c>
      <c r="AC12" s="16">
        <f>'[1]YVAM chiller load reference'!DH10</f>
        <v>0</v>
      </c>
      <c r="AD12" s="16">
        <f>AC12*Table1343[[#This Row],[Total Operating Hours]]</f>
        <v>0</v>
      </c>
      <c r="AE12" s="11">
        <f>'[1]YVAM chiller load reference'!BI10</f>
        <v>41.02</v>
      </c>
      <c r="AF12" s="16">
        <f>AE12*Table1343[[#This Row],[Total Operating Hours]]</f>
        <v>40076.54</v>
      </c>
      <c r="AG12" s="11">
        <f>'[1]YVAM chiller load reference'!BP10</f>
        <v>37.18</v>
      </c>
      <c r="AH12" s="16">
        <f>AG12*Table1343[[#This Row],[Total Operating Hours]]</f>
        <v>36324.86</v>
      </c>
    </row>
    <row r="13" spans="1:34" x14ac:dyDescent="0.25">
      <c r="A13" s="17" t="s">
        <v>9</v>
      </c>
      <c r="B13" s="4">
        <f t="shared" si="0"/>
        <v>72.5</v>
      </c>
      <c r="C13" s="5">
        <v>22.5</v>
      </c>
      <c r="D13" s="17">
        <v>606</v>
      </c>
      <c r="E13" s="16">
        <f>'[1]YVAM chiller load reference'!D11</f>
        <v>164.1</v>
      </c>
      <c r="F13" s="16">
        <f>E13*Table1343[[#This Row],[Total Operating Hours]]</f>
        <v>99444.599999999991</v>
      </c>
      <c r="G13" s="11">
        <f>'[1]YVAM chiller load reference'!L11</f>
        <v>146.69999999999999</v>
      </c>
      <c r="H13" s="11">
        <f>G13*Table1343[[#This Row],[Total Operating Hours]]</f>
        <v>88900.2</v>
      </c>
      <c r="I13" s="11">
        <f>'[1]YVAM chiller load reference'!S11</f>
        <v>125.3</v>
      </c>
      <c r="J13" s="11">
        <f>I13*Table1343[[#This Row],[Total Operating Hours]]</f>
        <v>75931.8</v>
      </c>
      <c r="K13" s="11">
        <f>'[1]YVAM chiller load reference'!Z11</f>
        <v>105.6</v>
      </c>
      <c r="L13" s="11">
        <f>K13*Table1343[[#This Row],[Total Operating Hours]]</f>
        <v>63993.599999999999</v>
      </c>
      <c r="M13" s="11">
        <f>'[1]YVAM chiller load reference'!BD11</f>
        <v>122.5</v>
      </c>
      <c r="N13" s="11">
        <f>M13*Table1343[[#This Row],[Total Operating Hours]]</f>
        <v>74235</v>
      </c>
      <c r="O13" s="11">
        <f>'[1]YVAM chiller load reference'!AG11</f>
        <v>87.8</v>
      </c>
      <c r="P13" s="11">
        <f>O13*Table1343[[#This Row],[Total Operating Hours]]</f>
        <v>53206.799999999996</v>
      </c>
      <c r="Q13" s="11">
        <f>'[1]YVAM chiller load reference'!BR11</f>
        <v>106.5</v>
      </c>
      <c r="R13" s="11">
        <f>Q13*Table1343[[#This Row],[Total Operating Hours]]</f>
        <v>64539</v>
      </c>
      <c r="S13" s="11">
        <f>'[1]YVAM chiller load reference'!AN11</f>
        <v>72.010000000000005</v>
      </c>
      <c r="T13" s="11">
        <f>S13*Table1343[[#This Row],[Total Operating Hours]]</f>
        <v>43638.060000000005</v>
      </c>
      <c r="U13" s="11">
        <f>'[1]YVAM chiller load reference'!CF11</f>
        <v>0</v>
      </c>
      <c r="V13" s="11">
        <f>U13*Table1343[[#This Row],[Total Operating Hours]]</f>
        <v>0</v>
      </c>
      <c r="W13" s="11">
        <f>'[1]YVAM chiller load reference'!AU11</f>
        <v>58.07</v>
      </c>
      <c r="X13" s="11">
        <f>W13*Table1343[[#This Row],[Total Operating Hours]]</f>
        <v>35190.42</v>
      </c>
      <c r="Y13" s="11">
        <f>'[1]YVAM chiller load reference'!CT11</f>
        <v>0</v>
      </c>
      <c r="Z13" s="11">
        <f>Y13*Table1343[[#This Row],[Total Operating Hours]]</f>
        <v>0</v>
      </c>
      <c r="AA13" s="11">
        <f>'[1]YVAM chiller load reference'!BB11</f>
        <v>45.86</v>
      </c>
      <c r="AB13" s="11">
        <f>AA13*Table1343[[#This Row],[Total Operating Hours]]</f>
        <v>27791.16</v>
      </c>
      <c r="AC13" s="11">
        <f>'[1]YVAM chiller load reference'!DH11</f>
        <v>0</v>
      </c>
      <c r="AD13" s="11">
        <f>AC13*Table1343[[#This Row],[Total Operating Hours]]</f>
        <v>0</v>
      </c>
      <c r="AE13" s="11">
        <f>'[1]YVAM chiller load reference'!BI11</f>
        <v>35.700000000000003</v>
      </c>
      <c r="AF13" s="11">
        <f>AE13*Table1343[[#This Row],[Total Operating Hours]]</f>
        <v>21634.2</v>
      </c>
      <c r="AG13" s="11">
        <f>'[1]YVAM chiller load reference'!BP11</f>
        <v>31.22</v>
      </c>
      <c r="AH13" s="11">
        <f>AG13*Table1343[[#This Row],[Total Operating Hours]]</f>
        <v>18919.32</v>
      </c>
    </row>
    <row r="14" spans="1:34" x14ac:dyDescent="0.25">
      <c r="A14" s="17" t="s">
        <v>4</v>
      </c>
      <c r="B14" s="4">
        <f t="shared" si="0"/>
        <v>67.5</v>
      </c>
      <c r="C14" s="5">
        <v>19.722222222222221</v>
      </c>
      <c r="D14" s="17">
        <v>901</v>
      </c>
      <c r="E14" s="16">
        <f>'[1]YVAM chiller load reference'!D12</f>
        <v>143.80000000000001</v>
      </c>
      <c r="F14" s="16">
        <f>E14*Table1343[[#This Row],[Total Operating Hours]]</f>
        <v>129563.80000000002</v>
      </c>
      <c r="G14" s="11">
        <f>'[1]YVAM chiller load reference'!L12</f>
        <v>127.8</v>
      </c>
      <c r="H14" s="16">
        <f>G14*Table1343[[#This Row],[Total Operating Hours]]</f>
        <v>115147.8</v>
      </c>
      <c r="I14" s="11">
        <f>'[1]YVAM chiller load reference'!S12</f>
        <v>108.3</v>
      </c>
      <c r="J14" s="16">
        <f>I14*Table1343[[#This Row],[Total Operating Hours]]</f>
        <v>97578.3</v>
      </c>
      <c r="K14" s="11">
        <f>'[1]YVAM chiller load reference'!Z12</f>
        <v>90.35</v>
      </c>
      <c r="L14" s="16">
        <f>K14*Table1343[[#This Row],[Total Operating Hours]]</f>
        <v>81405.349999999991</v>
      </c>
      <c r="M14" s="16">
        <f>'[1]YVAM chiller load reference'!BD12</f>
        <v>111.5</v>
      </c>
      <c r="N14" s="16">
        <f>M14*Table1343[[#This Row],[Total Operating Hours]]</f>
        <v>100461.5</v>
      </c>
      <c r="O14" s="11">
        <f>'[1]YVAM chiller load reference'!AG12</f>
        <v>74.36</v>
      </c>
      <c r="P14" s="16">
        <f>O14*Table1343[[#This Row],[Total Operating Hours]]</f>
        <v>66998.36</v>
      </c>
      <c r="Q14" s="16">
        <f>'[1]YVAM chiller load reference'!BR12</f>
        <v>98.5</v>
      </c>
      <c r="R14" s="16">
        <f>Q14*Table1343[[#This Row],[Total Operating Hours]]</f>
        <v>88748.5</v>
      </c>
      <c r="S14" s="11">
        <f>'[1]YVAM chiller load reference'!AN12</f>
        <v>60.12</v>
      </c>
      <c r="T14" s="16">
        <f>S14*Table1343[[#This Row],[Total Operating Hours]]</f>
        <v>54168.119999999995</v>
      </c>
      <c r="U14" s="16">
        <f>'[1]YVAM chiller load reference'!CF12</f>
        <v>0</v>
      </c>
      <c r="V14" s="16">
        <f>U14*Table1343[[#This Row],[Total Operating Hours]]</f>
        <v>0</v>
      </c>
      <c r="W14" s="11">
        <f>'[1]YVAM chiller load reference'!AU12</f>
        <v>47.93</v>
      </c>
      <c r="X14" s="16">
        <f>W14*Table1343[[#This Row],[Total Operating Hours]]</f>
        <v>43184.93</v>
      </c>
      <c r="Y14" s="16">
        <f>'[1]YVAM chiller load reference'!CT12</f>
        <v>0</v>
      </c>
      <c r="Z14" s="16">
        <f>Y14*Table1343[[#This Row],[Total Operating Hours]]</f>
        <v>0</v>
      </c>
      <c r="AA14" s="11">
        <f>'[1]YVAM chiller load reference'!BB12</f>
        <v>36.979999999999997</v>
      </c>
      <c r="AB14" s="16">
        <f>AA14*Table1343[[#This Row],[Total Operating Hours]]</f>
        <v>33318.979999999996</v>
      </c>
      <c r="AC14" s="16">
        <f>'[1]YVAM chiller load reference'!DH12</f>
        <v>0</v>
      </c>
      <c r="AD14" s="16">
        <f>AC14*Table1343[[#This Row],[Total Operating Hours]]</f>
        <v>0</v>
      </c>
      <c r="AE14" s="11">
        <f>'[1]YVAM chiller load reference'!BI12</f>
        <v>27.75</v>
      </c>
      <c r="AF14" s="16">
        <f>AE14*Table1343[[#This Row],[Total Operating Hours]]</f>
        <v>25002.75</v>
      </c>
      <c r="AG14" s="11">
        <f>'[1]YVAM chiller load reference'!BP12</f>
        <v>23.9</v>
      </c>
      <c r="AH14" s="16">
        <f>AG14*Table1343[[#This Row],[Total Operating Hours]]</f>
        <v>21533.899999999998</v>
      </c>
    </row>
    <row r="15" spans="1:34" x14ac:dyDescent="0.25">
      <c r="A15" s="17" t="s">
        <v>8</v>
      </c>
      <c r="B15" s="4">
        <f t="shared" si="0"/>
        <v>62.5</v>
      </c>
      <c r="C15" s="5">
        <v>16.944444444444443</v>
      </c>
      <c r="D15" s="17">
        <v>750</v>
      </c>
      <c r="E15" s="16">
        <f>'[1]YVAM chiller load reference'!D13</f>
        <v>124.9</v>
      </c>
      <c r="F15" s="16">
        <f>E15*Table1343[[#This Row],[Total Operating Hours]]</f>
        <v>93675</v>
      </c>
      <c r="G15" s="11">
        <f>'[1]YVAM chiller load reference'!L13</f>
        <v>110.5</v>
      </c>
      <c r="H15" s="11">
        <f>G15*Table1343[[#This Row],[Total Operating Hours]]</f>
        <v>82875</v>
      </c>
      <c r="I15" s="11">
        <f>'[1]YVAM chiller load reference'!S13</f>
        <v>92.69</v>
      </c>
      <c r="J15" s="11">
        <f>I15*Table1343[[#This Row],[Total Operating Hours]]</f>
        <v>69517.5</v>
      </c>
      <c r="K15" s="11">
        <f>'[1]YVAM chiller load reference'!Z13</f>
        <v>76.400000000000006</v>
      </c>
      <c r="L15" s="11">
        <f>K15*Table1343[[#This Row],[Total Operating Hours]]</f>
        <v>57300.000000000007</v>
      </c>
      <c r="M15" s="11">
        <f>'[1]YVAM chiller load reference'!BD13</f>
        <v>102.5</v>
      </c>
      <c r="N15" s="11">
        <f>M15*Table1343[[#This Row],[Total Operating Hours]]</f>
        <v>76875</v>
      </c>
      <c r="O15" s="11">
        <f>'[1]YVAM chiller load reference'!AG13</f>
        <v>62.02</v>
      </c>
      <c r="P15" s="11">
        <f>O15*Table1343[[#This Row],[Total Operating Hours]]</f>
        <v>46515</v>
      </c>
      <c r="Q15" s="11">
        <f>'[1]YVAM chiller load reference'!BR13</f>
        <v>90.5</v>
      </c>
      <c r="R15" s="11">
        <f>Q15*Table1343[[#This Row],[Total Operating Hours]]</f>
        <v>67875</v>
      </c>
      <c r="S15" s="11">
        <f>'[1]YVAM chiller load reference'!AN13</f>
        <v>49.46</v>
      </c>
      <c r="T15" s="11">
        <f>S15*Table1343[[#This Row],[Total Operating Hours]]</f>
        <v>37095</v>
      </c>
      <c r="U15" s="11">
        <f>'[1]YVAM chiller load reference'!CF13</f>
        <v>0</v>
      </c>
      <c r="V15" s="11">
        <f>U15*Table1343[[#This Row],[Total Operating Hours]]</f>
        <v>0</v>
      </c>
      <c r="W15" s="11">
        <f>'[1]YVAM chiller load reference'!AU13</f>
        <v>38.54</v>
      </c>
      <c r="X15" s="11">
        <f>W15*Table1343[[#This Row],[Total Operating Hours]]</f>
        <v>28905</v>
      </c>
      <c r="Y15" s="11">
        <f>'[1]YVAM chiller load reference'!CT13</f>
        <v>0</v>
      </c>
      <c r="Z15" s="11">
        <f>Y15*Table1343[[#This Row],[Total Operating Hours]]</f>
        <v>0</v>
      </c>
      <c r="AA15" s="11">
        <f>'[1]YVAM chiller load reference'!BB13</f>
        <v>29.28</v>
      </c>
      <c r="AB15" s="11">
        <f>AA15*Table1343[[#This Row],[Total Operating Hours]]</f>
        <v>21960</v>
      </c>
      <c r="AC15" s="11">
        <f>'[1]YVAM chiller load reference'!DH13</f>
        <v>0</v>
      </c>
      <c r="AD15" s="11">
        <f>AC15*Table1343[[#This Row],[Total Operating Hours]]</f>
        <v>0</v>
      </c>
      <c r="AE15" s="11">
        <f>'[1]YVAM chiller load reference'!BI13</f>
        <v>21.09</v>
      </c>
      <c r="AF15" s="11">
        <f>AE15*Table1343[[#This Row],[Total Operating Hours]]</f>
        <v>15817.5</v>
      </c>
      <c r="AG15" s="11">
        <f>'[1]YVAM chiller load reference'!BP13</f>
        <v>17.579999999999998</v>
      </c>
      <c r="AH15" s="11">
        <f>AG15*Table1343[[#This Row],[Total Operating Hours]]</f>
        <v>13184.999999999998</v>
      </c>
    </row>
    <row r="16" spans="1:34" x14ac:dyDescent="0.25">
      <c r="A16" s="17" t="s">
        <v>3</v>
      </c>
      <c r="B16" s="4">
        <f t="shared" si="0"/>
        <v>57.5</v>
      </c>
      <c r="C16" s="5">
        <v>14.166666666666666</v>
      </c>
      <c r="D16" s="17">
        <v>730</v>
      </c>
      <c r="E16" s="16">
        <f>'[1]YVAM chiller load reference'!D14</f>
        <v>107.5</v>
      </c>
      <c r="F16" s="16">
        <f>E16*Table1343[[#This Row],[Total Operating Hours]]</f>
        <v>78475</v>
      </c>
      <c r="G16" s="11">
        <f>'[1]YVAM chiller load reference'!L14</f>
        <v>94.44</v>
      </c>
      <c r="H16" s="16">
        <f>G16*Table1343[[#This Row],[Total Operating Hours]]</f>
        <v>68941.2</v>
      </c>
      <c r="I16" s="11">
        <f>'[1]YVAM chiller load reference'!S14</f>
        <v>78.02</v>
      </c>
      <c r="J16" s="16">
        <f>I16*Table1343[[#This Row],[Total Operating Hours]]</f>
        <v>56954.6</v>
      </c>
      <c r="K16" s="11">
        <f>'[1]YVAM chiller load reference'!Z14</f>
        <v>63.48</v>
      </c>
      <c r="L16" s="16">
        <f>K16*Table1343[[#This Row],[Total Operating Hours]]</f>
        <v>46340.399999999994</v>
      </c>
      <c r="M16" s="16">
        <f>'[1]YVAM chiller load reference'!BD14</f>
        <v>93.5</v>
      </c>
      <c r="N16" s="16">
        <f>M16*Table1343[[#This Row],[Total Operating Hours]]</f>
        <v>68255</v>
      </c>
      <c r="O16" s="11">
        <f>'[1]YVAM chiller load reference'!AG14</f>
        <v>50.72</v>
      </c>
      <c r="P16" s="16">
        <f>O16*Table1343[[#This Row],[Total Operating Hours]]</f>
        <v>37025.599999999999</v>
      </c>
      <c r="Q16" s="16">
        <f>'[1]YVAM chiller load reference'!BR14</f>
        <v>87.5</v>
      </c>
      <c r="R16" s="16">
        <f>Q16*Table1343[[#This Row],[Total Operating Hours]]</f>
        <v>63875</v>
      </c>
      <c r="S16" s="11">
        <f>'[1]YVAM chiller load reference'!AN14</f>
        <v>39.44</v>
      </c>
      <c r="T16" s="16">
        <f>S16*Table1343[[#This Row],[Total Operating Hours]]</f>
        <v>28791.199999999997</v>
      </c>
      <c r="U16" s="16">
        <f>'[1]YVAM chiller load reference'!CF14</f>
        <v>0</v>
      </c>
      <c r="V16" s="16">
        <f>U16*Table1343[[#This Row],[Total Operating Hours]]</f>
        <v>0</v>
      </c>
      <c r="W16" s="11">
        <f>'[1]YVAM chiller load reference'!AU14</f>
        <v>29.72</v>
      </c>
      <c r="X16" s="16">
        <f>W16*Table1343[[#This Row],[Total Operating Hours]]</f>
        <v>21695.599999999999</v>
      </c>
      <c r="Y16" s="16">
        <f>'[1]YVAM chiller load reference'!CT14</f>
        <v>0</v>
      </c>
      <c r="Z16" s="16">
        <f>Y16*Table1343[[#This Row],[Total Operating Hours]]</f>
        <v>0</v>
      </c>
      <c r="AA16" s="11">
        <f>'[1]YVAM chiller load reference'!BB14</f>
        <v>21.61</v>
      </c>
      <c r="AB16" s="16">
        <f>AA16*Table1343[[#This Row],[Total Operating Hours]]</f>
        <v>15775.3</v>
      </c>
      <c r="AC16" s="16">
        <f>'[1]YVAM chiller load reference'!DH14</f>
        <v>0</v>
      </c>
      <c r="AD16" s="16">
        <f>AC16*Table1343[[#This Row],[Total Operating Hours]]</f>
        <v>0</v>
      </c>
      <c r="AE16" s="11">
        <f>'[1]YVAM chiller load reference'!BI14</f>
        <v>15.76</v>
      </c>
      <c r="AF16" s="16">
        <f>AE16*Table1343[[#This Row],[Total Operating Hours]]</f>
        <v>11504.8</v>
      </c>
      <c r="AG16" s="11">
        <f>'[1]YVAM chiller load reference'!BP14</f>
        <v>14.06</v>
      </c>
      <c r="AH16" s="16">
        <f>AG16*Table1343[[#This Row],[Total Operating Hours]]</f>
        <v>10263.800000000001</v>
      </c>
    </row>
    <row r="17" spans="1:34" x14ac:dyDescent="0.25">
      <c r="A17" s="17" t="s">
        <v>7</v>
      </c>
      <c r="B17" s="4">
        <f t="shared" si="0"/>
        <v>52.5</v>
      </c>
      <c r="C17" s="5">
        <v>11.388888888888889</v>
      </c>
      <c r="D17" s="17">
        <v>653</v>
      </c>
      <c r="E17" s="16">
        <f>'[1]YVAM chiller load reference'!D15</f>
        <v>92.56</v>
      </c>
      <c r="F17" s="16">
        <f>E17*Table1343[[#This Row],[Total Operating Hours]]</f>
        <v>60441.68</v>
      </c>
      <c r="G17" s="11">
        <f>'[1]YVAM chiller load reference'!L15</f>
        <v>79.45</v>
      </c>
      <c r="H17" s="11">
        <f>G17*Table1343[[#This Row],[Total Operating Hours]]</f>
        <v>51880.85</v>
      </c>
      <c r="I17" s="11">
        <f>'[1]YVAM chiller load reference'!S15</f>
        <v>64.739999999999995</v>
      </c>
      <c r="J17" s="11">
        <f>I17*Table1343[[#This Row],[Total Operating Hours]]</f>
        <v>42275.219999999994</v>
      </c>
      <c r="K17" s="11">
        <f>'[1]YVAM chiller load reference'!Z15</f>
        <v>51.59</v>
      </c>
      <c r="L17" s="11">
        <f>K17*Table1343[[#This Row],[Total Operating Hours]]</f>
        <v>33688.270000000004</v>
      </c>
      <c r="M17" s="11">
        <f>'[1]YVAM chiller load reference'!BD15</f>
        <v>91.5</v>
      </c>
      <c r="N17" s="11">
        <f>M17*Table1343[[#This Row],[Total Operating Hours]]</f>
        <v>59749.5</v>
      </c>
      <c r="O17" s="11">
        <f>'[1]YVAM chiller load reference'!AG15</f>
        <v>39.76</v>
      </c>
      <c r="P17" s="11">
        <f>O17*Table1343[[#This Row],[Total Operating Hours]]</f>
        <v>25963.279999999999</v>
      </c>
      <c r="Q17" s="11">
        <f>'[1]YVAM chiller load reference'!BR15</f>
        <v>87.5</v>
      </c>
      <c r="R17" s="11">
        <f>Q17*Table1343[[#This Row],[Total Operating Hours]]</f>
        <v>57137.5</v>
      </c>
      <c r="S17" s="11">
        <f>'[1]YVAM chiller load reference'!AN15</f>
        <v>30.14</v>
      </c>
      <c r="T17" s="11">
        <f>S17*Table1343[[#This Row],[Total Operating Hours]]</f>
        <v>19681.420000000002</v>
      </c>
      <c r="U17" s="11">
        <f>'[1]YVAM chiller load reference'!CF15</f>
        <v>0</v>
      </c>
      <c r="V17" s="11">
        <f>U17*Table1343[[#This Row],[Total Operating Hours]]</f>
        <v>0</v>
      </c>
      <c r="W17" s="11">
        <f>'[1]YVAM chiller load reference'!AU15</f>
        <v>22.24</v>
      </c>
      <c r="X17" s="11">
        <f>W17*Table1343[[#This Row],[Total Operating Hours]]</f>
        <v>14522.72</v>
      </c>
      <c r="Y17" s="11">
        <f>'[1]YVAM chiller load reference'!CT15</f>
        <v>0</v>
      </c>
      <c r="Z17" s="11">
        <f>Y17*Table1343[[#This Row],[Total Operating Hours]]</f>
        <v>0</v>
      </c>
      <c r="AA17" s="11">
        <f>'[1]YVAM chiller load reference'!BB15</f>
        <v>17.55</v>
      </c>
      <c r="AB17" s="11">
        <f>AA17*Table1343[[#This Row],[Total Operating Hours]]</f>
        <v>11460.15</v>
      </c>
      <c r="AC17" s="11">
        <f>'[1]YVAM chiller load reference'!DH15</f>
        <v>0</v>
      </c>
      <c r="AD17" s="11">
        <f>AC17*Table1343[[#This Row],[Total Operating Hours]]</f>
        <v>0</v>
      </c>
      <c r="AE17" s="11">
        <f>'[1]YVAM chiller load reference'!BI15</f>
        <v>14.8</v>
      </c>
      <c r="AF17" s="11">
        <f>AE17*Table1343[[#This Row],[Total Operating Hours]]</f>
        <v>9664.4</v>
      </c>
      <c r="AG17" s="11">
        <f>'[1]YVAM chiller load reference'!BP15</f>
        <v>13.2</v>
      </c>
      <c r="AH17" s="11">
        <f>AG17*Table1343[[#This Row],[Total Operating Hours]]</f>
        <v>8619.6</v>
      </c>
    </row>
    <row r="18" spans="1:34" x14ac:dyDescent="0.25">
      <c r="A18" s="17" t="s">
        <v>11</v>
      </c>
      <c r="B18" s="4">
        <f t="shared" si="0"/>
        <v>47.5</v>
      </c>
      <c r="C18" s="5">
        <v>8.6111111111111107</v>
      </c>
      <c r="D18" s="17">
        <v>260</v>
      </c>
      <c r="E18" s="16">
        <f>'[1]YVAM chiller load reference'!D16</f>
        <v>83.85</v>
      </c>
      <c r="F18" s="16">
        <f>E18*Table1343[[#This Row],[Total Operating Hours]]</f>
        <v>21801</v>
      </c>
      <c r="G18" s="11">
        <f>'[1]YVAM chiller load reference'!L16</f>
        <v>71.03</v>
      </c>
      <c r="H18" s="16">
        <f>G18*Table1343[[#This Row],[Total Operating Hours]]</f>
        <v>18467.8</v>
      </c>
      <c r="I18" s="11">
        <f>'[1]YVAM chiller load reference'!S16</f>
        <v>57.14</v>
      </c>
      <c r="J18" s="16">
        <f>I18*Table1343[[#This Row],[Total Operating Hours]]</f>
        <v>14856.4</v>
      </c>
      <c r="K18" s="11">
        <f>'[1]YVAM chiller load reference'!Z16</f>
        <v>44.17</v>
      </c>
      <c r="L18" s="16">
        <f>K18*Table1343[[#This Row],[Total Operating Hours]]</f>
        <v>11484.2</v>
      </c>
      <c r="M18" s="16">
        <f>'[1]YVAM chiller load reference'!BD16</f>
        <v>91.5</v>
      </c>
      <c r="N18" s="16">
        <f>M18*Table1343[[#This Row],[Total Operating Hours]]</f>
        <v>23790</v>
      </c>
      <c r="O18" s="11">
        <f>'[1]YVAM chiller load reference'!AG16</f>
        <v>34.619999999999997</v>
      </c>
      <c r="P18" s="16">
        <f>O18*Table1343[[#This Row],[Total Operating Hours]]</f>
        <v>9001.1999999999989</v>
      </c>
      <c r="Q18" s="16">
        <f>'[1]YVAM chiller load reference'!BR16</f>
        <v>87.5</v>
      </c>
      <c r="R18" s="16">
        <f>Q18*Table1343[[#This Row],[Total Operating Hours]]</f>
        <v>22750</v>
      </c>
      <c r="S18" s="11">
        <f>'[1]YVAM chiller load reference'!AN16</f>
        <v>26.67</v>
      </c>
      <c r="T18" s="16">
        <f>S18*Table1343[[#This Row],[Total Operating Hours]]</f>
        <v>6934.2000000000007</v>
      </c>
      <c r="U18" s="16">
        <f>'[1]YVAM chiller load reference'!CF16</f>
        <v>0</v>
      </c>
      <c r="V18" s="16">
        <f>U18*Table1343[[#This Row],[Total Operating Hours]]</f>
        <v>0</v>
      </c>
      <c r="W18" s="11">
        <f>'[1]YVAM chiller load reference'!AU16</f>
        <v>19.690000000000001</v>
      </c>
      <c r="X18" s="16">
        <f>W18*Table1343[[#This Row],[Total Operating Hours]]</f>
        <v>5119.4000000000005</v>
      </c>
      <c r="Y18" s="16">
        <f>'[1]YVAM chiller load reference'!CT16</f>
        <v>0</v>
      </c>
      <c r="Z18" s="16">
        <f>Y18*Table1343[[#This Row],[Total Operating Hours]]</f>
        <v>0</v>
      </c>
      <c r="AA18" s="11">
        <f>'[1]YVAM chiller load reference'!BB16</f>
        <v>16.82</v>
      </c>
      <c r="AB18" s="16">
        <f>AA18*Table1343[[#This Row],[Total Operating Hours]]</f>
        <v>4373.2</v>
      </c>
      <c r="AC18" s="16">
        <f>'[1]YVAM chiller load reference'!DH16</f>
        <v>0</v>
      </c>
      <c r="AD18" s="16">
        <f>AC18*Table1343[[#This Row],[Total Operating Hours]]</f>
        <v>0</v>
      </c>
      <c r="AE18" s="11">
        <f>'[1]YVAM chiller load reference'!BI16</f>
        <v>14.32</v>
      </c>
      <c r="AF18" s="16">
        <f>AE18*Table1343[[#This Row],[Total Operating Hours]]</f>
        <v>3723.2000000000003</v>
      </c>
      <c r="AG18" s="11">
        <f>'[1]YVAM chiller load reference'!BP16</f>
        <v>13.06</v>
      </c>
      <c r="AH18" s="16">
        <f>AG18*Table1343[[#This Row],[Total Operating Hours]]</f>
        <v>3395.6</v>
      </c>
    </row>
    <row r="19" spans="1:34" x14ac:dyDescent="0.25">
      <c r="A19" s="17" t="s">
        <v>12</v>
      </c>
      <c r="B19" s="4">
        <f t="shared" si="0"/>
        <v>42.5</v>
      </c>
      <c r="C19" s="5">
        <v>5.833333333333333</v>
      </c>
      <c r="D19" s="17">
        <v>409</v>
      </c>
      <c r="E19" s="16">
        <f>'[1]YVAM chiller load reference'!D17</f>
        <v>73.2</v>
      </c>
      <c r="F19" s="16">
        <f>E19*Table1343[[#This Row],[Total Operating Hours]]</f>
        <v>29938.800000000003</v>
      </c>
      <c r="G19" s="11">
        <f>'[1]YVAM chiller load reference'!L17</f>
        <v>60.87</v>
      </c>
      <c r="H19" s="11">
        <f>G19*Table1343[[#This Row],[Total Operating Hours]]</f>
        <v>24895.829999999998</v>
      </c>
      <c r="I19" s="11">
        <f>'[1]YVAM chiller load reference'!S17</f>
        <v>48.31</v>
      </c>
      <c r="J19" s="11">
        <f>I19*Table1343[[#This Row],[Total Operating Hours]]</f>
        <v>19758.79</v>
      </c>
      <c r="K19" s="11">
        <f>'[1]YVAM chiller load reference'!Z17</f>
        <v>36.729999999999997</v>
      </c>
      <c r="L19" s="11">
        <f>K19*Table1343[[#This Row],[Total Operating Hours]]</f>
        <v>15022.569999999998</v>
      </c>
      <c r="M19" s="11">
        <f>'[1]YVAM chiller load reference'!BD17</f>
        <v>91.5</v>
      </c>
      <c r="N19" s="11">
        <f>M19*Table1343[[#This Row],[Total Operating Hours]]</f>
        <v>37423.5</v>
      </c>
      <c r="O19" s="11">
        <f>'[1]YVAM chiller load reference'!AG17</f>
        <v>28.62</v>
      </c>
      <c r="P19" s="11">
        <f>O19*Table1343[[#This Row],[Total Operating Hours]]</f>
        <v>11705.58</v>
      </c>
      <c r="Q19" s="11">
        <f>'[1]YVAM chiller load reference'!BR17</f>
        <v>87.5</v>
      </c>
      <c r="R19" s="11">
        <f>Q19*Table1343[[#This Row],[Total Operating Hours]]</f>
        <v>35787.5</v>
      </c>
      <c r="S19" s="11">
        <f>'[1]YVAM chiller load reference'!AN17</f>
        <v>22.36</v>
      </c>
      <c r="T19" s="11">
        <f>S19*Table1343[[#This Row],[Total Operating Hours]]</f>
        <v>9145.24</v>
      </c>
      <c r="U19" s="11">
        <f>'[1]YVAM chiller load reference'!CF17</f>
        <v>0</v>
      </c>
      <c r="V19" s="11">
        <f>U19*Table1343[[#This Row],[Total Operating Hours]]</f>
        <v>0</v>
      </c>
      <c r="W19" s="11">
        <f>'[1]YVAM chiller load reference'!AU17</f>
        <v>18.07</v>
      </c>
      <c r="X19" s="11">
        <f>W19*Table1343[[#This Row],[Total Operating Hours]]</f>
        <v>7390.63</v>
      </c>
      <c r="Y19" s="11">
        <f>'[1]YVAM chiller load reference'!CT17</f>
        <v>0</v>
      </c>
      <c r="Z19" s="11">
        <f>Y19*Table1343[[#This Row],[Total Operating Hours]]</f>
        <v>0</v>
      </c>
      <c r="AA19" s="11">
        <f>'[1]YVAM chiller load reference'!BB17</f>
        <v>16.260000000000002</v>
      </c>
      <c r="AB19" s="11">
        <f>AA19*Table1343[[#This Row],[Total Operating Hours]]</f>
        <v>6650.3400000000011</v>
      </c>
      <c r="AC19" s="11">
        <f>'[1]YVAM chiller load reference'!DH17</f>
        <v>0</v>
      </c>
      <c r="AD19" s="11">
        <f>AC19*Table1343[[#This Row],[Total Operating Hours]]</f>
        <v>0</v>
      </c>
      <c r="AE19" s="11">
        <f>'[1]YVAM chiller load reference'!BI17</f>
        <v>14.06</v>
      </c>
      <c r="AF19" s="11">
        <f>AE19*Table1343[[#This Row],[Total Operating Hours]]</f>
        <v>5750.54</v>
      </c>
      <c r="AG19" s="11">
        <f>'[1]YVAM chiller load reference'!BP17</f>
        <v>12.92</v>
      </c>
      <c r="AH19" s="11">
        <f>AG19*Table1343[[#This Row],[Total Operating Hours]]</f>
        <v>5284.28</v>
      </c>
    </row>
    <row r="20" spans="1:34" x14ac:dyDescent="0.25">
      <c r="A20" s="17" t="s">
        <v>13</v>
      </c>
      <c r="B20" s="4">
        <f t="shared" si="0"/>
        <v>37.5</v>
      </c>
      <c r="C20" s="5">
        <v>3.0555555555555554</v>
      </c>
      <c r="D20" s="17">
        <v>370</v>
      </c>
      <c r="E20" s="16">
        <f>'[1]YVAM chiller load reference'!D18</f>
        <v>66.47</v>
      </c>
      <c r="F20" s="16">
        <f>E20*Table1343[[#This Row],[Total Operating Hours]]</f>
        <v>24593.899999999998</v>
      </c>
      <c r="G20" s="11">
        <f>'[1]YVAM chiller load reference'!L18</f>
        <v>54.89</v>
      </c>
      <c r="H20" s="16">
        <f>G20*Table1343[[#This Row],[Total Operating Hours]]</f>
        <v>20309.3</v>
      </c>
      <c r="I20" s="11">
        <f>'[1]YVAM chiller load reference'!S18</f>
        <v>41.71</v>
      </c>
      <c r="J20" s="16">
        <f>I20*Table1343[[#This Row],[Total Operating Hours]]</f>
        <v>15432.7</v>
      </c>
      <c r="K20" s="11">
        <f>'[1]YVAM chiller load reference'!Z18</f>
        <v>32.1</v>
      </c>
      <c r="L20" s="16">
        <f>K20*Table1343[[#This Row],[Total Operating Hours]]</f>
        <v>11877</v>
      </c>
      <c r="M20" s="16">
        <f>'[1]YVAM chiller load reference'!BD18</f>
        <v>91.5</v>
      </c>
      <c r="N20" s="16">
        <f>M20*Table1343[[#This Row],[Total Operating Hours]]</f>
        <v>33855</v>
      </c>
      <c r="O20" s="11">
        <f>'[1]YVAM chiller load reference'!AG18</f>
        <v>25.37</v>
      </c>
      <c r="P20" s="16">
        <f>O20*Table1343[[#This Row],[Total Operating Hours]]</f>
        <v>9386.9</v>
      </c>
      <c r="Q20" s="16">
        <f>'[1]YVAM chiller load reference'!BR18</f>
        <v>87.5</v>
      </c>
      <c r="R20" s="16">
        <f>Q20*Table1343[[#This Row],[Total Operating Hours]]</f>
        <v>32375</v>
      </c>
      <c r="S20" s="11">
        <f>'[1]YVAM chiller load reference'!AN18</f>
        <v>20.45</v>
      </c>
      <c r="T20" s="16">
        <f>S20*Table1343[[#This Row],[Total Operating Hours]]</f>
        <v>7566.5</v>
      </c>
      <c r="U20" s="16">
        <f>'[1]YVAM chiller load reference'!CF18</f>
        <v>0</v>
      </c>
      <c r="V20" s="16">
        <f>U20*Table1343[[#This Row],[Total Operating Hours]]</f>
        <v>0</v>
      </c>
      <c r="W20" s="11">
        <f>'[1]YVAM chiller load reference'!AU18</f>
        <v>17.649999999999999</v>
      </c>
      <c r="X20" s="16">
        <f>W20*Table1343[[#This Row],[Total Operating Hours]]</f>
        <v>6530.4999999999991</v>
      </c>
      <c r="Y20" s="16">
        <f>'[1]YVAM chiller load reference'!CT18</f>
        <v>0</v>
      </c>
      <c r="Z20" s="16">
        <f>Y20*Table1343[[#This Row],[Total Operating Hours]]</f>
        <v>0</v>
      </c>
      <c r="AA20" s="11">
        <f>'[1]YVAM chiller load reference'!BB18</f>
        <v>16.329999999999998</v>
      </c>
      <c r="AB20" s="16">
        <f>AA20*Table1343[[#This Row],[Total Operating Hours]]</f>
        <v>6042.0999999999995</v>
      </c>
      <c r="AC20" s="16">
        <f>'[1]YVAM chiller load reference'!DH18</f>
        <v>0</v>
      </c>
      <c r="AD20" s="16">
        <f>AC20*Table1343[[#This Row],[Total Operating Hours]]</f>
        <v>0</v>
      </c>
      <c r="AE20" s="11">
        <f>'[1]YVAM chiller load reference'!BI18</f>
        <v>13.86</v>
      </c>
      <c r="AF20" s="16">
        <f>AE20*Table1343[[#This Row],[Total Operating Hours]]</f>
        <v>5128.2</v>
      </c>
      <c r="AG20" s="11">
        <f>'[1]YVAM chiller load reference'!BP18</f>
        <v>12.94</v>
      </c>
      <c r="AH20" s="16">
        <f>AG20*Table1343[[#This Row],[Total Operating Hours]]</f>
        <v>4787.8</v>
      </c>
    </row>
    <row r="21" spans="1:34" x14ac:dyDescent="0.25">
      <c r="A21" s="17" t="s">
        <v>14</v>
      </c>
      <c r="B21" s="4">
        <f t="shared" si="0"/>
        <v>32.5</v>
      </c>
      <c r="C21" s="5">
        <v>0.27777777777777779</v>
      </c>
      <c r="D21" s="17">
        <v>367</v>
      </c>
      <c r="E21" s="16">
        <f>'[1]YVAM chiller load reference'!D19</f>
        <v>62.43</v>
      </c>
      <c r="F21" s="16">
        <f>E21*Table1343[[#This Row],[Total Operating Hours]]</f>
        <v>22911.81</v>
      </c>
      <c r="G21" s="11">
        <f>'[1]YVAM chiller load reference'!L19</f>
        <v>50.62</v>
      </c>
      <c r="H21" s="11">
        <f>G21*Table1343[[#This Row],[Total Operating Hours]]</f>
        <v>18577.54</v>
      </c>
      <c r="I21" s="11">
        <f>'[1]YVAM chiller load reference'!S19</f>
        <v>37.729999999999997</v>
      </c>
      <c r="J21" s="11">
        <f>I21*Table1343[[#This Row],[Total Operating Hours]]</f>
        <v>13846.909999999998</v>
      </c>
      <c r="K21" s="11">
        <f>'[1]YVAM chiller load reference'!Z19</f>
        <v>28.92</v>
      </c>
      <c r="L21" s="11">
        <f>K21*Table1343[[#This Row],[Total Operating Hours]]</f>
        <v>10613.640000000001</v>
      </c>
      <c r="M21" s="11">
        <f>'[1]YVAM chiller load reference'!BD19</f>
        <v>91.5</v>
      </c>
      <c r="N21" s="11">
        <f>M21*Table1343[[#This Row],[Total Operating Hours]]</f>
        <v>33580.5</v>
      </c>
      <c r="O21" s="11">
        <f>'[1]YVAM chiller load reference'!AG19</f>
        <v>22.52</v>
      </c>
      <c r="P21" s="11">
        <f>O21*Table1343[[#This Row],[Total Operating Hours]]</f>
        <v>8264.84</v>
      </c>
      <c r="Q21" s="11">
        <f>'[1]YVAM chiller load reference'!BR19</f>
        <v>87.5</v>
      </c>
      <c r="R21" s="11">
        <f>Q21*Table1343[[#This Row],[Total Operating Hours]]</f>
        <v>32112.5</v>
      </c>
      <c r="S21" s="11">
        <f>'[1]YVAM chiller load reference'!AN19</f>
        <v>18.53</v>
      </c>
      <c r="T21" s="11">
        <f>S21*Table1343[[#This Row],[Total Operating Hours]]</f>
        <v>6800.51</v>
      </c>
      <c r="U21" s="11">
        <f>'[1]YVAM chiller load reference'!CF19</f>
        <v>0</v>
      </c>
      <c r="V21" s="11">
        <f>U21*Table1343[[#This Row],[Total Operating Hours]]</f>
        <v>0</v>
      </c>
      <c r="W21" s="11">
        <f>'[1]YVAM chiller load reference'!AU19</f>
        <v>16.79</v>
      </c>
      <c r="X21" s="11">
        <f>W21*Table1343[[#This Row],[Total Operating Hours]]</f>
        <v>6161.9299999999994</v>
      </c>
      <c r="Y21" s="11">
        <f>'[1]YVAM chiller load reference'!CT19</f>
        <v>0</v>
      </c>
      <c r="Z21" s="11">
        <f>Y21*Table1343[[#This Row],[Total Operating Hours]]</f>
        <v>0</v>
      </c>
      <c r="AA21" s="11">
        <f>'[1]YVAM chiller load reference'!BB19</f>
        <v>15.96</v>
      </c>
      <c r="AB21" s="11">
        <f>AA21*Table1343[[#This Row],[Total Operating Hours]]</f>
        <v>5857.3200000000006</v>
      </c>
      <c r="AC21" s="11">
        <f>'[1]YVAM chiller load reference'!DH19</f>
        <v>0</v>
      </c>
      <c r="AD21" s="11">
        <f>AC21*Table1343[[#This Row],[Total Operating Hours]]</f>
        <v>0</v>
      </c>
      <c r="AE21" s="11">
        <f>'[1]YVAM chiller load reference'!BI19</f>
        <v>14.28</v>
      </c>
      <c r="AF21" s="11">
        <f>AE21*Table1343[[#This Row],[Total Operating Hours]]</f>
        <v>5240.76</v>
      </c>
      <c r="AG21" s="11">
        <f>'[1]YVAM chiller load reference'!BP19</f>
        <v>13.34</v>
      </c>
      <c r="AH21" s="11">
        <f>AG21*Table1343[[#This Row],[Total Operating Hours]]</f>
        <v>4895.78</v>
      </c>
    </row>
    <row r="22" spans="1:34" x14ac:dyDescent="0.25">
      <c r="A22" s="17" t="s">
        <v>15</v>
      </c>
      <c r="B22" s="4">
        <f t="shared" si="0"/>
        <v>27.5</v>
      </c>
      <c r="C22" s="5">
        <v>-2.5</v>
      </c>
      <c r="D22" s="17">
        <v>234</v>
      </c>
      <c r="E22" s="16">
        <f>'[1]YVAM chiller load reference'!D20</f>
        <v>59.26</v>
      </c>
      <c r="F22" s="16">
        <f>E22*Table1343[[#This Row],[Total Operating Hours]]</f>
        <v>13866.84</v>
      </c>
      <c r="G22" s="11">
        <f>'[1]YVAM chiller load reference'!L20</f>
        <v>48.18</v>
      </c>
      <c r="H22" s="16">
        <f>G22*Table1343[[#This Row],[Total Operating Hours]]</f>
        <v>11274.12</v>
      </c>
      <c r="I22" s="11">
        <f>'[1]YVAM chiller load reference'!S20</f>
        <v>35.880000000000003</v>
      </c>
      <c r="J22" s="16">
        <f>I22*Table1343[[#This Row],[Total Operating Hours]]</f>
        <v>8395.92</v>
      </c>
      <c r="K22" s="11">
        <f>'[1]YVAM chiller load reference'!Z20</f>
        <v>27.75</v>
      </c>
      <c r="L22" s="16">
        <f>K22*Table1343[[#This Row],[Total Operating Hours]]</f>
        <v>6493.5</v>
      </c>
      <c r="M22" s="16">
        <f>'[1]YVAM chiller load reference'!BD20</f>
        <v>91.5</v>
      </c>
      <c r="N22" s="16">
        <f>M22*Table1343[[#This Row],[Total Operating Hours]]</f>
        <v>21411</v>
      </c>
      <c r="O22" s="11">
        <f>'[1]YVAM chiller load reference'!AG20</f>
        <v>22.48</v>
      </c>
      <c r="P22" s="16">
        <f>O22*Table1343[[#This Row],[Total Operating Hours]]</f>
        <v>5260.32</v>
      </c>
      <c r="Q22" s="16">
        <f>'[1]YVAM chiller load reference'!BR20</f>
        <v>87.5</v>
      </c>
      <c r="R22" s="16">
        <f>Q22*Table1343[[#This Row],[Total Operating Hours]]</f>
        <v>20475</v>
      </c>
      <c r="S22" s="11">
        <f>'[1]YVAM chiller load reference'!AN20</f>
        <v>18.27</v>
      </c>
      <c r="T22" s="16">
        <f>S22*Table1343[[#This Row],[Total Operating Hours]]</f>
        <v>4275.18</v>
      </c>
      <c r="U22" s="16">
        <f>'[1]YVAM chiller load reference'!CF20</f>
        <v>0</v>
      </c>
      <c r="V22" s="16">
        <f>U22*Table1343[[#This Row],[Total Operating Hours]]</f>
        <v>0</v>
      </c>
      <c r="W22" s="11">
        <f>'[1]YVAM chiller load reference'!AU20</f>
        <v>16.579999999999998</v>
      </c>
      <c r="X22" s="16">
        <f>W22*Table1343[[#This Row],[Total Operating Hours]]</f>
        <v>3879.72</v>
      </c>
      <c r="Y22" s="16">
        <f>'[1]YVAM chiller load reference'!CT20</f>
        <v>0</v>
      </c>
      <c r="Z22" s="16">
        <f>Y22*Table1343[[#This Row],[Total Operating Hours]]</f>
        <v>0</v>
      </c>
      <c r="AA22" s="11">
        <f>'[1]YVAM chiller load reference'!BB20</f>
        <v>15.94</v>
      </c>
      <c r="AB22" s="16">
        <f>AA22*Table1343[[#This Row],[Total Operating Hours]]</f>
        <v>3729.96</v>
      </c>
      <c r="AC22" s="16">
        <f>'[1]YVAM chiller load reference'!DH20</f>
        <v>0</v>
      </c>
      <c r="AD22" s="16">
        <f>AC22*Table1343[[#This Row],[Total Operating Hours]]</f>
        <v>0</v>
      </c>
      <c r="AE22" s="11">
        <f>'[1]YVAM chiller load reference'!BI20</f>
        <v>13.81</v>
      </c>
      <c r="AF22" s="16">
        <f>AE22*Table1343[[#This Row],[Total Operating Hours]]</f>
        <v>3231.54</v>
      </c>
      <c r="AG22" s="11">
        <f>'[1]YVAM chiller load reference'!BP20</f>
        <v>12.78</v>
      </c>
      <c r="AH22" s="16">
        <f>AG22*Table1343[[#This Row],[Total Operating Hours]]</f>
        <v>2990.52</v>
      </c>
    </row>
    <row r="23" spans="1:34" x14ac:dyDescent="0.25">
      <c r="A23" s="17" t="s">
        <v>29</v>
      </c>
      <c r="B23" s="4">
        <f t="shared" si="0"/>
        <v>22.5</v>
      </c>
      <c r="C23" s="5">
        <v>-5.2777777777777777</v>
      </c>
      <c r="D23" s="17">
        <v>91</v>
      </c>
      <c r="E23" s="16">
        <f>'[1]YVAM chiller load reference'!D21</f>
        <v>58.36</v>
      </c>
      <c r="F23" s="11">
        <f>E23*Table1343[[#This Row],[Total Operating Hours]]</f>
        <v>5310.76</v>
      </c>
      <c r="G23" s="11">
        <f>'[1]YVAM chiller load reference'!L21</f>
        <v>47.34</v>
      </c>
      <c r="H23" s="11">
        <f>G23*Table1343[[#This Row],[Total Operating Hours]]</f>
        <v>4307.9400000000005</v>
      </c>
      <c r="I23" s="11">
        <f>'[1]YVAM chiller load reference'!S21</f>
        <v>35.32</v>
      </c>
      <c r="J23" s="11">
        <f>I23*Table1343[[#This Row],[Total Operating Hours]]</f>
        <v>3214.12</v>
      </c>
      <c r="K23" s="11">
        <f>'[1]YVAM chiller load reference'!Z21</f>
        <v>27.42</v>
      </c>
      <c r="L23" s="11">
        <f>K23*Table1343[[#This Row],[Total Operating Hours]]</f>
        <v>2495.2200000000003</v>
      </c>
      <c r="M23" s="11">
        <f>'[1]YVAM chiller load reference'!BD21</f>
        <v>91.5</v>
      </c>
      <c r="N23" s="11">
        <f>M23*Table1343[[#This Row],[Total Operating Hours]]</f>
        <v>8326.5</v>
      </c>
      <c r="O23" s="11">
        <f>'[1]YVAM chiller load reference'!AG21</f>
        <v>22.53</v>
      </c>
      <c r="P23" s="11">
        <f>O23*Table1343[[#This Row],[Total Operating Hours]]</f>
        <v>2050.23</v>
      </c>
      <c r="Q23" s="11">
        <f>'[1]YVAM chiller load reference'!BR21</f>
        <v>87.5</v>
      </c>
      <c r="R23" s="11">
        <f>Q23*Table1343[[#This Row],[Total Operating Hours]]</f>
        <v>7962.5</v>
      </c>
      <c r="S23" s="11">
        <f>'[1]YVAM chiller load reference'!AN21</f>
        <v>18.420000000000002</v>
      </c>
      <c r="T23" s="11">
        <f>S23*Table1343[[#This Row],[Total Operating Hours]]</f>
        <v>1676.2200000000003</v>
      </c>
      <c r="U23" s="11">
        <f>'[1]YVAM chiller load reference'!CF21</f>
        <v>0</v>
      </c>
      <c r="V23" s="11">
        <f>U23*Table1343[[#This Row],[Total Operating Hours]]</f>
        <v>0</v>
      </c>
      <c r="W23" s="11">
        <f>'[1]YVAM chiller load reference'!AU21</f>
        <v>16.48</v>
      </c>
      <c r="X23" s="11">
        <f>W23*Table1343[[#This Row],[Total Operating Hours]]</f>
        <v>1499.68</v>
      </c>
      <c r="Y23" s="11">
        <f>'[1]YVAM chiller load reference'!CT21</f>
        <v>0</v>
      </c>
      <c r="Z23" s="11">
        <f>Y23*Table1343[[#This Row],[Total Operating Hours]]</f>
        <v>0</v>
      </c>
      <c r="AA23" s="11">
        <f>'[1]YVAM chiller load reference'!BB21</f>
        <v>15.83</v>
      </c>
      <c r="AB23" s="11">
        <f>AA23*Table1343[[#This Row],[Total Operating Hours]]</f>
        <v>1440.53</v>
      </c>
      <c r="AC23" s="11">
        <f>'[1]YVAM chiller load reference'!DH21</f>
        <v>0</v>
      </c>
      <c r="AD23" s="11">
        <f>AC23*Table1343[[#This Row],[Total Operating Hours]]</f>
        <v>0</v>
      </c>
      <c r="AE23" s="11">
        <f>'[1]YVAM chiller load reference'!BI21</f>
        <v>13.93</v>
      </c>
      <c r="AF23" s="11">
        <f>AE23*Table1343[[#This Row],[Total Operating Hours]]</f>
        <v>1267.6299999999999</v>
      </c>
      <c r="AG23" s="11">
        <f>'[1]YVAM chiller load reference'!BP21</f>
        <v>12.77</v>
      </c>
      <c r="AH23" s="11">
        <f>AG23*Table1343[[#This Row],[Total Operating Hours]]</f>
        <v>1162.07</v>
      </c>
    </row>
    <row r="24" spans="1:34" x14ac:dyDescent="0.25">
      <c r="A24" s="17" t="s">
        <v>21</v>
      </c>
      <c r="B24" s="4">
        <f t="shared" si="0"/>
        <v>17.5</v>
      </c>
      <c r="C24" s="8">
        <v>-8.0555555555555554</v>
      </c>
      <c r="D24" s="17">
        <v>140</v>
      </c>
      <c r="E24" s="16">
        <v>57.6</v>
      </c>
      <c r="F24" s="16">
        <f>E24*Table1343[[#This Row],[Total Operating Hours]]</f>
        <v>8064</v>
      </c>
      <c r="G24" s="11">
        <v>46.48</v>
      </c>
      <c r="H24" s="16">
        <f>G24*Table1343[[#This Row],[Total Operating Hours]]</f>
        <v>6507.2</v>
      </c>
      <c r="I24" s="11">
        <v>37.08</v>
      </c>
      <c r="J24" s="16">
        <f>I24*Table1343[[#This Row],[Total Operating Hours]]</f>
        <v>5191.2</v>
      </c>
      <c r="K24" s="11">
        <v>28.39</v>
      </c>
      <c r="L24" s="16">
        <f>K24*Table1343[[#This Row],[Total Operating Hours]]</f>
        <v>3974.6</v>
      </c>
      <c r="M24" s="16">
        <f>'[1]YVAM chiller load reference'!BD22</f>
        <v>0</v>
      </c>
      <c r="N24" s="16">
        <f>M24*Table1343[[#This Row],[Total Operating Hours]]</f>
        <v>0</v>
      </c>
      <c r="O24" s="11">
        <v>22.97</v>
      </c>
      <c r="P24" s="16">
        <f>O24*Table1343[[#This Row],[Total Operating Hours]]</f>
        <v>3215.7999999999997</v>
      </c>
      <c r="Q24" s="16">
        <f>'[1]YVAM chiller load reference'!BR22</f>
        <v>0</v>
      </c>
      <c r="R24" s="16">
        <f>Q24*Table1343[[#This Row],[Total Operating Hours]]</f>
        <v>0</v>
      </c>
      <c r="S24" s="11">
        <v>18.54</v>
      </c>
      <c r="T24" s="16">
        <f>S24*Table1343[[#This Row],[Total Operating Hours]]</f>
        <v>2595.6</v>
      </c>
      <c r="U24" s="16">
        <f>'[1]YVAM chiller load reference'!CF22</f>
        <v>0</v>
      </c>
      <c r="V24" s="16">
        <f>U24*Table1343[[#This Row],[Total Operating Hours]]</f>
        <v>0</v>
      </c>
      <c r="W24" s="11">
        <v>16.46</v>
      </c>
      <c r="X24" s="16">
        <f>W24*Table1343[[#This Row],[Total Operating Hours]]</f>
        <v>2304.4</v>
      </c>
      <c r="Y24" s="16">
        <f>'[1]YVAM chiller load reference'!CT22</f>
        <v>0</v>
      </c>
      <c r="Z24" s="16">
        <f>Y24*Table1343[[#This Row],[Total Operating Hours]]</f>
        <v>0</v>
      </c>
      <c r="AA24" s="11">
        <v>15.57</v>
      </c>
      <c r="AB24" s="16">
        <f>AA24*Table1343[[#This Row],[Total Operating Hours]]</f>
        <v>2179.8000000000002</v>
      </c>
      <c r="AC24" s="16">
        <f>'[1]YVAM chiller load reference'!DH22</f>
        <v>0</v>
      </c>
      <c r="AD24" s="16">
        <f>AC24*Table1343[[#This Row],[Total Operating Hours]]</f>
        <v>0</v>
      </c>
      <c r="AE24" s="11">
        <v>13.93</v>
      </c>
      <c r="AF24" s="16">
        <f>AE24*Table1343[[#This Row],[Total Operating Hours]]</f>
        <v>1950.2</v>
      </c>
      <c r="AG24" s="11">
        <f>AE24*0.91</f>
        <v>12.676299999999999</v>
      </c>
      <c r="AH24" s="16">
        <f>AG24*Table1343[[#This Row],[Total Operating Hours]]</f>
        <v>1774.682</v>
      </c>
    </row>
    <row r="25" spans="1:34" x14ac:dyDescent="0.25">
      <c r="A25" s="17" t="s">
        <v>30</v>
      </c>
      <c r="B25" s="4">
        <f t="shared" si="0"/>
        <v>12.5</v>
      </c>
      <c r="C25" s="8">
        <v>-10.833333333333334</v>
      </c>
      <c r="D25" s="17">
        <v>56</v>
      </c>
      <c r="E25" s="16">
        <v>57.57</v>
      </c>
      <c r="F25" s="16">
        <f>E25*Table1342[[#This Row],[Total Operating Hours]]</f>
        <v>3223.92</v>
      </c>
      <c r="G25" s="19">
        <v>47.01</v>
      </c>
      <c r="H25" s="16">
        <f>G25*Table1343[[#This Row],[Total Operating Hours]]</f>
        <v>2632.56</v>
      </c>
      <c r="I25" s="11">
        <v>36.159999999999997</v>
      </c>
      <c r="J25" s="16">
        <f>I25*Table1343[[#This Row],[Total Operating Hours]]</f>
        <v>2024.9599999999998</v>
      </c>
      <c r="K25" s="11">
        <v>27.91</v>
      </c>
      <c r="L25" s="16">
        <f>K25*Table1343[[#This Row],[Total Operating Hours]]</f>
        <v>1562.96</v>
      </c>
      <c r="M25" s="16"/>
      <c r="N25" s="16"/>
      <c r="O25" s="11">
        <v>22.63</v>
      </c>
      <c r="P25" s="16">
        <f>O25*Table1343[[#This Row],[Total Operating Hours]]</f>
        <v>1267.28</v>
      </c>
      <c r="Q25" s="11"/>
      <c r="R25" s="16"/>
      <c r="S25" s="11">
        <v>18.440000000000001</v>
      </c>
      <c r="T25" s="16">
        <f>S25*Table1343[[#This Row],[Total Operating Hours]]</f>
        <v>1032.6400000000001</v>
      </c>
      <c r="U25" s="11"/>
      <c r="V25" s="16"/>
      <c r="W25" s="16">
        <v>16.399999999999999</v>
      </c>
      <c r="X25" s="16">
        <f>W25*Table1343[[#This Row],[Total Operating Hours]]</f>
        <v>918.39999999999986</v>
      </c>
      <c r="Y25" s="11"/>
      <c r="Z25" s="16"/>
      <c r="AA25" s="11">
        <v>15.62</v>
      </c>
      <c r="AB25" s="16">
        <f>AA25*Table1343[[#This Row],[Total Operating Hours]]</f>
        <v>874.71999999999991</v>
      </c>
      <c r="AC25" s="17"/>
      <c r="AD25" s="17"/>
      <c r="AE25" s="17">
        <v>14.26</v>
      </c>
      <c r="AF25" s="16">
        <f>AE25*Table1343[[#This Row],[Total Operating Hours]]</f>
        <v>798.56</v>
      </c>
      <c r="AG25" s="11">
        <f>AE25*0.91</f>
        <v>12.976599999999999</v>
      </c>
      <c r="AH25" s="16">
        <f>AG25*Table1343[[#This Row],[Total Operating Hours]]</f>
        <v>726.68959999999993</v>
      </c>
    </row>
    <row r="26" spans="1:34" x14ac:dyDescent="0.25">
      <c r="A26" s="20" t="s">
        <v>31</v>
      </c>
      <c r="B26" s="4">
        <f t="shared" si="0"/>
        <v>7.5</v>
      </c>
      <c r="C26" s="8">
        <v>-13.611111111111111</v>
      </c>
      <c r="D26" s="17">
        <v>10</v>
      </c>
      <c r="E26" s="16">
        <v>56.91</v>
      </c>
      <c r="F26" s="16">
        <f>E26*Table1342[[#This Row],[Total Operating Hours]]</f>
        <v>569.09999999999991</v>
      </c>
      <c r="G26" s="19">
        <v>46.35</v>
      </c>
      <c r="H26" s="16">
        <f>G26*Table1343[[#This Row],[Total Operating Hours]]</f>
        <v>463.5</v>
      </c>
      <c r="I26" s="11">
        <v>35.36</v>
      </c>
      <c r="J26" s="16">
        <f>I26*Table1343[[#This Row],[Total Operating Hours]]</f>
        <v>353.6</v>
      </c>
      <c r="K26" s="11">
        <v>27.75</v>
      </c>
      <c r="L26" s="16">
        <f>K26*Table1343[[#This Row],[Total Operating Hours]]</f>
        <v>277.5</v>
      </c>
      <c r="M26" s="16"/>
      <c r="N26" s="16"/>
      <c r="O26" s="11">
        <v>22.87</v>
      </c>
      <c r="P26" s="16">
        <f>O26*Table1343[[#This Row],[Total Operating Hours]]</f>
        <v>228.70000000000002</v>
      </c>
      <c r="Q26" s="11"/>
      <c r="R26" s="16"/>
      <c r="S26" s="11">
        <v>18.43</v>
      </c>
      <c r="T26" s="16">
        <f>S26*Table1343[[#This Row],[Total Operating Hours]]</f>
        <v>184.3</v>
      </c>
      <c r="U26" s="11"/>
      <c r="V26" s="16"/>
      <c r="W26" s="16">
        <v>16.32</v>
      </c>
      <c r="X26" s="16">
        <f>W26*Table1343[[#This Row],[Total Operating Hours]]</f>
        <v>163.19999999999999</v>
      </c>
      <c r="Y26" s="11"/>
      <c r="Z26" s="16"/>
      <c r="AA26" s="11">
        <v>15.59</v>
      </c>
      <c r="AB26" s="16">
        <f>AA26*Table1343[[#This Row],[Total Operating Hours]]</f>
        <v>155.9</v>
      </c>
      <c r="AC26" s="17"/>
      <c r="AD26" s="17"/>
      <c r="AE26" s="17">
        <v>14.12</v>
      </c>
      <c r="AF26" s="16">
        <f>AE26*Table1343[[#This Row],[Total Operating Hours]]</f>
        <v>141.19999999999999</v>
      </c>
      <c r="AG26" s="11">
        <f>AE26*0.91</f>
        <v>12.8492</v>
      </c>
      <c r="AH26" s="16">
        <f>AG26*Table1343[[#This Row],[Total Operating Hours]]</f>
        <v>128.49199999999999</v>
      </c>
    </row>
    <row r="27" spans="1:34" ht="15" thickBot="1" x14ac:dyDescent="0.3">
      <c r="A27" s="20" t="s">
        <v>32</v>
      </c>
      <c r="B27" s="4">
        <f t="shared" si="0"/>
        <v>2.5</v>
      </c>
      <c r="C27" s="8">
        <v>-16.388888888888889</v>
      </c>
      <c r="D27" s="17">
        <v>6</v>
      </c>
      <c r="E27" s="16">
        <v>57.16</v>
      </c>
      <c r="F27" s="16">
        <f>E27*Table1342[[#This Row],[Total Operating Hours]]</f>
        <v>342.96</v>
      </c>
      <c r="G27" s="19">
        <v>45.77</v>
      </c>
      <c r="H27" s="16">
        <f>G27*Table1343[[#This Row],[Total Operating Hours]]</f>
        <v>274.62</v>
      </c>
      <c r="I27" s="11">
        <v>36.799999999999997</v>
      </c>
      <c r="J27" s="16">
        <f>I27*Table1343[[#This Row],[Total Operating Hours]]</f>
        <v>220.79999999999998</v>
      </c>
      <c r="K27" s="11">
        <v>28.46</v>
      </c>
      <c r="L27" s="16">
        <f>K27*Table1343[[#This Row],[Total Operating Hours]]</f>
        <v>170.76</v>
      </c>
      <c r="M27" s="16"/>
      <c r="N27" s="16"/>
      <c r="O27" s="11">
        <v>23.07</v>
      </c>
      <c r="P27" s="16">
        <f>O27*Table1343[[#This Row],[Total Operating Hours]]</f>
        <v>138.42000000000002</v>
      </c>
      <c r="Q27" s="11"/>
      <c r="R27" s="16"/>
      <c r="S27" s="11">
        <v>18.190000000000001</v>
      </c>
      <c r="T27" s="16">
        <f>S27*Table1343[[#This Row],[Total Operating Hours]]</f>
        <v>109.14000000000001</v>
      </c>
      <c r="U27" s="11"/>
      <c r="V27" s="16"/>
      <c r="W27" s="16">
        <v>16.39</v>
      </c>
      <c r="X27" s="16">
        <f>W27*Table1343[[#This Row],[Total Operating Hours]]</f>
        <v>98.34</v>
      </c>
      <c r="Y27" s="11"/>
      <c r="Z27" s="16"/>
      <c r="AA27" s="11">
        <v>15.53</v>
      </c>
      <c r="AB27" s="16">
        <f>AA27*Table1343[[#This Row],[Total Operating Hours]]</f>
        <v>93.179999999999993</v>
      </c>
      <c r="AC27" s="17"/>
      <c r="AD27" s="17"/>
      <c r="AE27" s="17">
        <v>14.2</v>
      </c>
      <c r="AF27" s="16">
        <f>AE27*Table1343[[#This Row],[Total Operating Hours]]</f>
        <v>85.199999999999989</v>
      </c>
      <c r="AG27" s="11">
        <f>AE27*0.91</f>
        <v>12.922000000000001</v>
      </c>
      <c r="AH27" s="16">
        <f>AG27*Table1343[[#This Row],[Total Operating Hours]]</f>
        <v>77.532000000000011</v>
      </c>
    </row>
    <row r="28" spans="1:34" ht="15" thickTop="1" x14ac:dyDescent="0.25">
      <c r="A28" s="1"/>
      <c r="B28" s="1"/>
      <c r="C28" s="1"/>
      <c r="D28" s="1">
        <f>SUM(D5:D27)</f>
        <v>8760</v>
      </c>
      <c r="E28" s="9"/>
      <c r="F28" s="2">
        <f>SUBTOTAL(109,Table1343[Annual kW])</f>
        <v>1278915.3700000001</v>
      </c>
      <c r="G28" s="10"/>
      <c r="H28" s="21">
        <f>SUM(H5:H27)</f>
        <v>1136458.8600000003</v>
      </c>
      <c r="I28" s="22"/>
      <c r="J28" s="21">
        <f>SUM(J5:J27)</f>
        <v>965471.82000000007</v>
      </c>
      <c r="K28" s="9"/>
      <c r="L28" s="21">
        <f>SUM(L5:L27)</f>
        <v>811472.06999999983</v>
      </c>
      <c r="M28" s="9"/>
      <c r="N28" s="21">
        <f>SUM(N5:N24)</f>
        <v>1025916</v>
      </c>
      <c r="O28" s="9"/>
      <c r="P28" s="21">
        <f>SUM(P5:P27)</f>
        <v>676121.23999999987</v>
      </c>
      <c r="Q28" s="9"/>
      <c r="R28" s="21">
        <f>SUM(R5:R24)</f>
        <v>940612</v>
      </c>
      <c r="S28" s="9"/>
      <c r="T28" s="21">
        <f>SUM(T5:T27)</f>
        <v>557629.46000000008</v>
      </c>
      <c r="U28" s="9"/>
      <c r="V28" s="21">
        <f>SUM(V5:V24)</f>
        <v>0</v>
      </c>
      <c r="W28" s="9"/>
      <c r="X28" s="21">
        <f>SUM(X5:X27)</f>
        <v>455949.88999999996</v>
      </c>
      <c r="Y28" s="9"/>
      <c r="Z28" s="21">
        <f>SUM(Z5:Z24)</f>
        <v>0</v>
      </c>
      <c r="AA28" s="9"/>
      <c r="AB28" s="21">
        <f>SUM(AB5:AB27)</f>
        <v>371044.37000000005</v>
      </c>
      <c r="AC28" s="9"/>
      <c r="AD28" s="21">
        <f>SUM(AD5:AD24)</f>
        <v>0</v>
      </c>
      <c r="AE28" s="9"/>
      <c r="AF28" s="21">
        <f>SUM(AF5:AF27)</f>
        <v>305871.69000000006</v>
      </c>
      <c r="AG28" s="9"/>
      <c r="AH28" s="21">
        <f>SUM(AH5:AH27)</f>
        <v>286003.51560000004</v>
      </c>
    </row>
    <row r="29" spans="1:34" x14ac:dyDescent="0.25">
      <c r="L29" s="12"/>
    </row>
  </sheetData>
  <mergeCells count="17">
    <mergeCell ref="O3:P3"/>
    <mergeCell ref="Q3:R3"/>
    <mergeCell ref="M3:N3"/>
    <mergeCell ref="A2:AH2"/>
    <mergeCell ref="AC3:AD3"/>
    <mergeCell ref="A3:D3"/>
    <mergeCell ref="E3:F3"/>
    <mergeCell ref="G3:H3"/>
    <mergeCell ref="I3:J3"/>
    <mergeCell ref="K3:L3"/>
    <mergeCell ref="AE3:AF3"/>
    <mergeCell ref="AG3:AH3"/>
    <mergeCell ref="W3:X3"/>
    <mergeCell ref="AA3:AB3"/>
    <mergeCell ref="S3:T3"/>
    <mergeCell ref="U3:V3"/>
    <mergeCell ref="Y3:Z3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21"/>
  <sheetViews>
    <sheetView workbookViewId="0">
      <selection activeCell="D3" sqref="D3"/>
    </sheetView>
  </sheetViews>
  <sheetFormatPr defaultRowHeight="14.4" x14ac:dyDescent="0.25"/>
  <cols>
    <col min="1" max="1" width="8.88671875" customWidth="1"/>
    <col min="2" max="2" width="5.5546875" bestFit="1" customWidth="1"/>
    <col min="4" max="4" width="12.21875" customWidth="1"/>
    <col min="38" max="38" width="5.5546875" bestFit="1" customWidth="1"/>
    <col min="39" max="39" width="6.5546875" bestFit="1" customWidth="1"/>
    <col min="40" max="41" width="5.5546875" bestFit="1" customWidth="1"/>
    <col min="47" max="47" width="5.5546875" bestFit="1" customWidth="1"/>
  </cols>
  <sheetData>
    <row r="1" spans="1:70" x14ac:dyDescent="0.25">
      <c r="D1" t="s">
        <v>27</v>
      </c>
    </row>
    <row r="2" spans="1:70" x14ac:dyDescent="0.25">
      <c r="A2" s="13">
        <v>100</v>
      </c>
      <c r="B2">
        <v>46.1</v>
      </c>
      <c r="C2">
        <v>1300</v>
      </c>
      <c r="D2">
        <v>396.6</v>
      </c>
      <c r="E2">
        <v>3.278</v>
      </c>
      <c r="F2">
        <v>529.5</v>
      </c>
      <c r="I2">
        <v>100</v>
      </c>
      <c r="J2">
        <v>46.1</v>
      </c>
      <c r="K2">
        <v>1300</v>
      </c>
      <c r="L2">
        <v>415.4</v>
      </c>
      <c r="M2">
        <v>3.129</v>
      </c>
      <c r="N2">
        <v>560.5</v>
      </c>
      <c r="P2">
        <v>100</v>
      </c>
      <c r="Q2">
        <v>46.1</v>
      </c>
      <c r="R2">
        <v>1300</v>
      </c>
      <c r="S2">
        <v>415.4</v>
      </c>
      <c r="T2">
        <v>3.129</v>
      </c>
      <c r="U2">
        <v>560.5</v>
      </c>
      <c r="W2">
        <v>100</v>
      </c>
      <c r="X2">
        <v>46.1</v>
      </c>
      <c r="Y2">
        <v>1300</v>
      </c>
      <c r="Z2">
        <v>415.4</v>
      </c>
      <c r="AA2">
        <v>3.129</v>
      </c>
      <c r="AB2">
        <v>560.5</v>
      </c>
      <c r="AD2">
        <v>100</v>
      </c>
      <c r="AE2">
        <v>46.1</v>
      </c>
      <c r="AF2">
        <v>1300</v>
      </c>
      <c r="AG2">
        <v>415.4</v>
      </c>
      <c r="AH2">
        <v>3.129</v>
      </c>
      <c r="AI2">
        <v>560.5</v>
      </c>
      <c r="AK2">
        <v>100</v>
      </c>
      <c r="AL2">
        <v>46.1</v>
      </c>
      <c r="AM2">
        <v>1300</v>
      </c>
      <c r="AN2">
        <v>415.4</v>
      </c>
      <c r="AO2">
        <v>3.129</v>
      </c>
      <c r="AP2">
        <v>560.5</v>
      </c>
      <c r="AR2">
        <v>100</v>
      </c>
      <c r="AS2">
        <v>46.1</v>
      </c>
      <c r="AT2">
        <v>1300</v>
      </c>
      <c r="AU2">
        <v>415.4</v>
      </c>
      <c r="AV2">
        <v>3.129</v>
      </c>
      <c r="AW2">
        <v>560.5</v>
      </c>
      <c r="AY2">
        <v>100</v>
      </c>
      <c r="AZ2">
        <v>46.1</v>
      </c>
      <c r="BA2">
        <v>1300</v>
      </c>
      <c r="BB2">
        <v>415.4</v>
      </c>
      <c r="BC2">
        <v>3.129</v>
      </c>
      <c r="BD2">
        <v>560.5</v>
      </c>
      <c r="BF2">
        <v>100</v>
      </c>
      <c r="BG2">
        <v>46.1</v>
      </c>
      <c r="BH2">
        <v>1300</v>
      </c>
      <c r="BI2">
        <v>415.4</v>
      </c>
      <c r="BJ2">
        <v>3.129</v>
      </c>
      <c r="BK2">
        <v>560.5</v>
      </c>
      <c r="BM2">
        <v>100</v>
      </c>
      <c r="BN2">
        <v>46.1</v>
      </c>
      <c r="BO2">
        <v>1300</v>
      </c>
      <c r="BP2">
        <v>415.4</v>
      </c>
      <c r="BQ2">
        <v>3.129</v>
      </c>
      <c r="BR2">
        <v>560.5</v>
      </c>
    </row>
    <row r="3" spans="1:70" s="15" customFormat="1" x14ac:dyDescent="0.25">
      <c r="A3" s="14">
        <v>100</v>
      </c>
      <c r="B3" s="15">
        <v>45</v>
      </c>
      <c r="C3" s="15">
        <v>1300</v>
      </c>
      <c r="D3" s="15">
        <v>380.4</v>
      </c>
      <c r="E3" s="15">
        <v>3.4180000000000001</v>
      </c>
      <c r="F3" s="15">
        <v>508.5</v>
      </c>
      <c r="I3" s="15">
        <v>90</v>
      </c>
      <c r="J3" s="15">
        <v>45</v>
      </c>
      <c r="K3" s="15">
        <v>1170</v>
      </c>
      <c r="L3" s="15">
        <v>350.3</v>
      </c>
      <c r="M3" s="15">
        <v>3.34</v>
      </c>
      <c r="N3" s="15">
        <v>475.5</v>
      </c>
      <c r="P3" s="15">
        <v>80</v>
      </c>
      <c r="Q3" s="15">
        <v>45</v>
      </c>
      <c r="R3" s="15">
        <v>1040</v>
      </c>
      <c r="S3" s="15">
        <v>312</v>
      </c>
      <c r="T3" s="15">
        <v>3.3340000000000001</v>
      </c>
      <c r="U3" s="15">
        <v>430.5</v>
      </c>
      <c r="W3" s="15">
        <v>70</v>
      </c>
      <c r="X3" s="15">
        <v>45</v>
      </c>
      <c r="Y3" s="15">
        <v>910.2</v>
      </c>
      <c r="Z3" s="15">
        <v>274.60000000000002</v>
      </c>
      <c r="AA3" s="15">
        <v>3.3149999999999999</v>
      </c>
      <c r="AB3" s="15">
        <v>379.5</v>
      </c>
      <c r="AD3" s="15">
        <v>60</v>
      </c>
      <c r="AE3" s="15">
        <v>45</v>
      </c>
      <c r="AF3" s="15">
        <v>780</v>
      </c>
      <c r="AG3" s="15">
        <v>240.2</v>
      </c>
      <c r="AH3" s="15">
        <v>3.2469999999999999</v>
      </c>
      <c r="AI3" s="15">
        <v>342.5</v>
      </c>
      <c r="AK3" s="15">
        <v>50</v>
      </c>
      <c r="AL3" s="15">
        <v>45</v>
      </c>
      <c r="AM3" s="15">
        <v>649.9</v>
      </c>
      <c r="AN3" s="15">
        <v>208.9</v>
      </c>
      <c r="AO3" s="15">
        <v>3.1120000000000001</v>
      </c>
      <c r="AP3" s="15">
        <v>309.5</v>
      </c>
      <c r="AR3" s="15">
        <v>40</v>
      </c>
      <c r="AS3" s="15">
        <v>45</v>
      </c>
      <c r="AT3" s="15">
        <v>520.1</v>
      </c>
      <c r="AU3" s="15">
        <v>181.6</v>
      </c>
      <c r="AV3" s="15">
        <v>2.8639999999999999</v>
      </c>
      <c r="AW3" s="15">
        <v>281.5</v>
      </c>
      <c r="AY3" s="15">
        <v>30</v>
      </c>
      <c r="AZ3" s="15">
        <v>45</v>
      </c>
      <c r="BA3" s="15">
        <v>390</v>
      </c>
      <c r="BB3" s="15">
        <v>158.6</v>
      </c>
      <c r="BC3" s="15">
        <v>2.4590000000000001</v>
      </c>
      <c r="BD3" s="15">
        <v>259.5</v>
      </c>
      <c r="BF3" s="15">
        <v>20</v>
      </c>
      <c r="BG3" s="15">
        <v>45</v>
      </c>
      <c r="BH3" s="15">
        <v>260</v>
      </c>
      <c r="BI3" s="15">
        <v>139</v>
      </c>
      <c r="BJ3" s="15">
        <v>1.87</v>
      </c>
      <c r="BK3" s="15">
        <v>238.5</v>
      </c>
      <c r="BM3" s="15">
        <v>15</v>
      </c>
      <c r="BN3" s="15">
        <v>45</v>
      </c>
      <c r="BO3" s="15">
        <v>195</v>
      </c>
      <c r="BP3" s="15">
        <v>146.19999999999999</v>
      </c>
      <c r="BQ3" s="15">
        <v>1.3340000000000001</v>
      </c>
      <c r="BR3" s="15">
        <v>240.5</v>
      </c>
    </row>
    <row r="4" spans="1:70" x14ac:dyDescent="0.25">
      <c r="A4" s="13">
        <v>100</v>
      </c>
      <c r="B4">
        <v>42</v>
      </c>
      <c r="C4">
        <v>1300</v>
      </c>
      <c r="D4">
        <v>341.1</v>
      </c>
      <c r="E4">
        <v>3.8119999999999998</v>
      </c>
      <c r="F4">
        <v>460.5</v>
      </c>
      <c r="I4">
        <v>90</v>
      </c>
      <c r="J4">
        <v>42</v>
      </c>
      <c r="K4">
        <v>1170</v>
      </c>
      <c r="L4">
        <v>313.7</v>
      </c>
      <c r="M4">
        <v>3.7290000000000001</v>
      </c>
      <c r="N4">
        <v>429.5</v>
      </c>
      <c r="P4">
        <v>80</v>
      </c>
      <c r="Q4">
        <v>42</v>
      </c>
      <c r="R4">
        <v>1040</v>
      </c>
      <c r="S4">
        <v>277.60000000000002</v>
      </c>
      <c r="T4">
        <v>3.7469999999999999</v>
      </c>
      <c r="U4">
        <v>380.5</v>
      </c>
      <c r="W4">
        <v>70</v>
      </c>
      <c r="X4">
        <v>42</v>
      </c>
      <c r="Y4">
        <v>910.2</v>
      </c>
      <c r="Z4">
        <v>244.5</v>
      </c>
      <c r="AA4">
        <v>3.7210000000000001</v>
      </c>
      <c r="AB4">
        <v>345.5</v>
      </c>
      <c r="AD4">
        <v>60</v>
      </c>
      <c r="AE4">
        <v>42</v>
      </c>
      <c r="AF4">
        <v>780</v>
      </c>
      <c r="AG4">
        <v>213.9</v>
      </c>
      <c r="AH4">
        <v>3.6469999999999998</v>
      </c>
      <c r="AI4">
        <v>314.5</v>
      </c>
      <c r="AK4">
        <v>50</v>
      </c>
      <c r="AL4">
        <v>42</v>
      </c>
      <c r="AM4">
        <v>649.9</v>
      </c>
      <c r="AN4">
        <v>185.7</v>
      </c>
      <c r="AO4">
        <v>3.5</v>
      </c>
      <c r="AP4">
        <v>283.5</v>
      </c>
      <c r="AR4">
        <v>40</v>
      </c>
      <c r="AS4">
        <v>42</v>
      </c>
      <c r="AT4">
        <v>520.1</v>
      </c>
      <c r="AU4">
        <v>161.4</v>
      </c>
      <c r="AV4">
        <v>3.2210000000000001</v>
      </c>
      <c r="AW4">
        <v>258.5</v>
      </c>
      <c r="AY4">
        <v>30</v>
      </c>
      <c r="AZ4">
        <v>42</v>
      </c>
      <c r="BA4">
        <v>390</v>
      </c>
      <c r="BB4">
        <v>142.30000000000001</v>
      </c>
      <c r="BC4">
        <v>2.7410000000000001</v>
      </c>
      <c r="BD4">
        <v>237.5</v>
      </c>
      <c r="BF4">
        <v>20</v>
      </c>
      <c r="BG4">
        <v>42</v>
      </c>
      <c r="BH4">
        <v>260</v>
      </c>
      <c r="BI4">
        <v>123</v>
      </c>
      <c r="BJ4">
        <v>2.1150000000000002</v>
      </c>
      <c r="BK4">
        <v>218.5</v>
      </c>
      <c r="BM4">
        <v>15</v>
      </c>
      <c r="BN4">
        <v>42</v>
      </c>
      <c r="BO4">
        <v>195</v>
      </c>
      <c r="BP4">
        <v>119.5</v>
      </c>
      <c r="BQ4">
        <v>1.6319999999999999</v>
      </c>
      <c r="BR4">
        <v>215.5</v>
      </c>
    </row>
    <row r="5" spans="1:70" x14ac:dyDescent="0.25">
      <c r="A5" s="13">
        <v>100</v>
      </c>
      <c r="B5">
        <v>39</v>
      </c>
      <c r="C5">
        <v>1300</v>
      </c>
      <c r="D5">
        <v>305.39999999999998</v>
      </c>
      <c r="E5">
        <v>4.2569999999999997</v>
      </c>
      <c r="F5">
        <v>417.5</v>
      </c>
      <c r="I5">
        <v>90</v>
      </c>
      <c r="J5">
        <v>39</v>
      </c>
      <c r="K5">
        <v>1170</v>
      </c>
      <c r="L5">
        <v>280.39999999999998</v>
      </c>
      <c r="M5">
        <v>4.1719999999999997</v>
      </c>
      <c r="N5">
        <v>388.5</v>
      </c>
      <c r="P5">
        <v>80</v>
      </c>
      <c r="Q5">
        <v>39</v>
      </c>
      <c r="R5">
        <v>1040</v>
      </c>
      <c r="S5">
        <v>246.9</v>
      </c>
      <c r="T5">
        <v>4.2119999999999997</v>
      </c>
      <c r="U5">
        <v>345.5</v>
      </c>
      <c r="W5">
        <v>70</v>
      </c>
      <c r="X5">
        <v>39</v>
      </c>
      <c r="Y5">
        <v>910.2</v>
      </c>
      <c r="Z5">
        <v>216.7</v>
      </c>
      <c r="AA5">
        <v>4.1989999999999998</v>
      </c>
      <c r="AB5">
        <v>315.5</v>
      </c>
      <c r="AD5">
        <v>60</v>
      </c>
      <c r="AE5">
        <v>39</v>
      </c>
      <c r="AF5">
        <v>780</v>
      </c>
      <c r="AG5">
        <v>190</v>
      </c>
      <c r="AH5">
        <v>4.1050000000000004</v>
      </c>
      <c r="AI5">
        <v>285.5</v>
      </c>
      <c r="AK5">
        <v>50</v>
      </c>
      <c r="AL5">
        <v>39</v>
      </c>
      <c r="AM5">
        <v>649.9</v>
      </c>
      <c r="AN5">
        <v>164.7</v>
      </c>
      <c r="AO5">
        <v>3.948</v>
      </c>
      <c r="AP5">
        <v>260.5</v>
      </c>
      <c r="AR5">
        <v>40</v>
      </c>
      <c r="AS5">
        <v>39</v>
      </c>
      <c r="AT5">
        <v>520.1</v>
      </c>
      <c r="AU5">
        <v>142.4</v>
      </c>
      <c r="AV5">
        <v>3.6509999999999998</v>
      </c>
      <c r="AW5">
        <v>236.5</v>
      </c>
      <c r="AY5">
        <v>30</v>
      </c>
      <c r="AZ5">
        <v>39</v>
      </c>
      <c r="BA5">
        <v>390</v>
      </c>
      <c r="BB5">
        <v>123.2</v>
      </c>
      <c r="BC5">
        <v>3.1659999999999999</v>
      </c>
      <c r="BD5">
        <v>214.5</v>
      </c>
      <c r="BF5">
        <v>20</v>
      </c>
      <c r="BG5">
        <v>39</v>
      </c>
      <c r="BH5">
        <v>260</v>
      </c>
      <c r="BI5">
        <v>109.6</v>
      </c>
      <c r="BJ5">
        <v>2.3719999999999999</v>
      </c>
      <c r="BK5">
        <v>201.5</v>
      </c>
      <c r="BM5">
        <v>15</v>
      </c>
      <c r="BN5">
        <v>39</v>
      </c>
      <c r="BO5">
        <v>195</v>
      </c>
      <c r="BP5">
        <v>103.9</v>
      </c>
      <c r="BQ5">
        <v>1.8759999999999999</v>
      </c>
      <c r="BR5">
        <v>196.5</v>
      </c>
    </row>
    <row r="6" spans="1:70" x14ac:dyDescent="0.25">
      <c r="A6" s="13">
        <v>100</v>
      </c>
      <c r="B6">
        <v>36</v>
      </c>
      <c r="C6">
        <v>1300</v>
      </c>
      <c r="D6">
        <v>273.2</v>
      </c>
      <c r="E6">
        <v>4.7590000000000003</v>
      </c>
      <c r="F6">
        <v>373.5</v>
      </c>
      <c r="I6">
        <v>90</v>
      </c>
      <c r="J6">
        <v>36</v>
      </c>
      <c r="K6">
        <v>1170</v>
      </c>
      <c r="L6">
        <v>249.9</v>
      </c>
      <c r="M6">
        <v>4.6820000000000004</v>
      </c>
      <c r="N6">
        <v>351.5</v>
      </c>
      <c r="P6">
        <v>80</v>
      </c>
      <c r="Q6">
        <v>36</v>
      </c>
      <c r="R6">
        <v>1040</v>
      </c>
      <c r="S6">
        <v>220.7</v>
      </c>
      <c r="T6">
        <v>4.7119999999999997</v>
      </c>
      <c r="U6">
        <v>313.5</v>
      </c>
      <c r="W6">
        <v>70</v>
      </c>
      <c r="X6">
        <v>36</v>
      </c>
      <c r="Y6">
        <v>910.2</v>
      </c>
      <c r="Z6">
        <v>192.6</v>
      </c>
      <c r="AA6">
        <v>4.7240000000000002</v>
      </c>
      <c r="AB6">
        <v>284.5</v>
      </c>
      <c r="AD6">
        <v>60</v>
      </c>
      <c r="AE6">
        <v>36</v>
      </c>
      <c r="AF6">
        <v>780</v>
      </c>
      <c r="AG6">
        <v>166.5</v>
      </c>
      <c r="AH6">
        <v>4.6859999999999999</v>
      </c>
      <c r="AI6">
        <v>253.5</v>
      </c>
      <c r="AK6">
        <v>50</v>
      </c>
      <c r="AL6">
        <v>36</v>
      </c>
      <c r="AM6">
        <v>649.9</v>
      </c>
      <c r="AN6">
        <v>142.6</v>
      </c>
      <c r="AO6">
        <v>4.5599999999999996</v>
      </c>
      <c r="AP6">
        <v>230.5</v>
      </c>
      <c r="AR6">
        <v>40</v>
      </c>
      <c r="AS6">
        <v>36</v>
      </c>
      <c r="AT6">
        <v>520.1</v>
      </c>
      <c r="AU6">
        <v>121.2</v>
      </c>
      <c r="AV6">
        <v>4.2910000000000004</v>
      </c>
      <c r="AW6">
        <v>211.5</v>
      </c>
      <c r="AY6">
        <v>30</v>
      </c>
      <c r="AZ6">
        <v>36</v>
      </c>
      <c r="BA6">
        <v>390</v>
      </c>
      <c r="BB6">
        <v>101.2</v>
      </c>
      <c r="BC6">
        <v>3.855</v>
      </c>
      <c r="BD6">
        <v>189.5</v>
      </c>
      <c r="BF6">
        <v>20</v>
      </c>
      <c r="BG6">
        <v>36</v>
      </c>
      <c r="BH6">
        <v>260</v>
      </c>
      <c r="BI6">
        <v>93.83</v>
      </c>
      <c r="BJ6">
        <v>2.7709999999999999</v>
      </c>
      <c r="BK6">
        <v>181.5</v>
      </c>
      <c r="BM6">
        <v>15</v>
      </c>
      <c r="BN6">
        <v>36</v>
      </c>
      <c r="BO6">
        <v>195</v>
      </c>
      <c r="BP6">
        <v>90.71</v>
      </c>
      <c r="BQ6">
        <v>2.15</v>
      </c>
      <c r="BR6">
        <v>179.5</v>
      </c>
    </row>
    <row r="7" spans="1:70" x14ac:dyDescent="0.25">
      <c r="A7" s="13">
        <v>100</v>
      </c>
      <c r="B7">
        <v>34</v>
      </c>
      <c r="C7">
        <v>1300</v>
      </c>
      <c r="D7">
        <v>254</v>
      </c>
      <c r="E7">
        <v>5.1180000000000003</v>
      </c>
      <c r="F7">
        <v>350.5</v>
      </c>
      <c r="I7">
        <v>90</v>
      </c>
      <c r="J7">
        <v>34</v>
      </c>
      <c r="K7">
        <v>1170</v>
      </c>
      <c r="L7">
        <v>231.4</v>
      </c>
      <c r="M7">
        <v>5.056</v>
      </c>
      <c r="N7">
        <v>325.5</v>
      </c>
      <c r="P7">
        <v>80</v>
      </c>
      <c r="Q7">
        <v>34</v>
      </c>
      <c r="R7">
        <v>1040</v>
      </c>
      <c r="S7">
        <v>202.7</v>
      </c>
      <c r="T7">
        <v>5.13</v>
      </c>
      <c r="U7">
        <v>295.5</v>
      </c>
      <c r="W7">
        <v>70</v>
      </c>
      <c r="X7">
        <v>34</v>
      </c>
      <c r="Y7">
        <v>910.2</v>
      </c>
      <c r="Z7">
        <v>175.5</v>
      </c>
      <c r="AA7">
        <v>5.1840000000000002</v>
      </c>
      <c r="AB7">
        <v>265.5</v>
      </c>
      <c r="AD7">
        <v>60</v>
      </c>
      <c r="AE7">
        <v>34</v>
      </c>
      <c r="AF7">
        <v>780</v>
      </c>
      <c r="AG7">
        <v>151.4</v>
      </c>
      <c r="AH7">
        <v>5.1529999999999996</v>
      </c>
      <c r="AI7">
        <v>241.5</v>
      </c>
      <c r="AK7">
        <v>50</v>
      </c>
      <c r="AL7">
        <v>34</v>
      </c>
      <c r="AM7">
        <v>649.9</v>
      </c>
      <c r="AN7">
        <v>129.30000000000001</v>
      </c>
      <c r="AO7">
        <v>5.0259999999999998</v>
      </c>
      <c r="AP7">
        <v>217.5</v>
      </c>
      <c r="AR7">
        <v>40</v>
      </c>
      <c r="AS7">
        <v>34</v>
      </c>
      <c r="AT7">
        <v>520.1</v>
      </c>
      <c r="AU7">
        <v>109.8</v>
      </c>
      <c r="AV7">
        <v>4.7380000000000004</v>
      </c>
      <c r="AW7">
        <v>196.5</v>
      </c>
      <c r="AY7">
        <v>30</v>
      </c>
      <c r="AZ7">
        <v>34</v>
      </c>
      <c r="BA7">
        <v>390</v>
      </c>
      <c r="BB7">
        <v>91.72</v>
      </c>
      <c r="BC7">
        <v>4.2519999999999998</v>
      </c>
      <c r="BD7">
        <v>177.5</v>
      </c>
      <c r="BF7">
        <v>20</v>
      </c>
      <c r="BG7">
        <v>34</v>
      </c>
      <c r="BH7">
        <v>260</v>
      </c>
      <c r="BI7">
        <v>80.73</v>
      </c>
      <c r="BJ7">
        <v>3.2210000000000001</v>
      </c>
      <c r="BK7">
        <v>163.5</v>
      </c>
      <c r="BM7">
        <v>15</v>
      </c>
      <c r="BN7">
        <v>34</v>
      </c>
      <c r="BO7">
        <v>195</v>
      </c>
      <c r="BP7">
        <v>81.25</v>
      </c>
      <c r="BQ7">
        <v>2.4009999999999998</v>
      </c>
      <c r="BR7">
        <v>167.5</v>
      </c>
    </row>
    <row r="8" spans="1:70" x14ac:dyDescent="0.25">
      <c r="A8" s="13">
        <v>100</v>
      </c>
      <c r="B8">
        <v>31</v>
      </c>
      <c r="C8">
        <v>1300</v>
      </c>
      <c r="D8">
        <v>226.3</v>
      </c>
      <c r="E8">
        <v>5.7450000000000001</v>
      </c>
      <c r="F8">
        <v>320.5</v>
      </c>
      <c r="I8">
        <v>90</v>
      </c>
      <c r="J8">
        <v>31</v>
      </c>
      <c r="K8">
        <v>1170</v>
      </c>
      <c r="L8">
        <v>205</v>
      </c>
      <c r="M8">
        <v>5.7080000000000002</v>
      </c>
      <c r="N8">
        <v>296.5</v>
      </c>
      <c r="P8">
        <v>80</v>
      </c>
      <c r="Q8">
        <v>31</v>
      </c>
      <c r="R8">
        <v>1040</v>
      </c>
      <c r="S8">
        <v>178.7</v>
      </c>
      <c r="T8">
        <v>5.8209999999999997</v>
      </c>
      <c r="U8">
        <v>265.5</v>
      </c>
      <c r="W8">
        <v>70</v>
      </c>
      <c r="X8">
        <v>31</v>
      </c>
      <c r="Y8">
        <v>910.2</v>
      </c>
      <c r="Z8">
        <v>154.69999999999999</v>
      </c>
      <c r="AA8">
        <v>5.883</v>
      </c>
      <c r="AB8">
        <v>240.5</v>
      </c>
      <c r="AD8">
        <v>60</v>
      </c>
      <c r="AE8">
        <v>31</v>
      </c>
      <c r="AF8">
        <v>780</v>
      </c>
      <c r="AG8">
        <v>131.9</v>
      </c>
      <c r="AH8">
        <v>5.915</v>
      </c>
      <c r="AI8">
        <v>216.5</v>
      </c>
      <c r="AK8">
        <v>50</v>
      </c>
      <c r="AL8">
        <v>31</v>
      </c>
      <c r="AM8">
        <v>649.9</v>
      </c>
      <c r="AN8">
        <v>111.5</v>
      </c>
      <c r="AO8">
        <v>5.8319999999999999</v>
      </c>
      <c r="AP8">
        <v>196.5</v>
      </c>
      <c r="AR8">
        <v>40</v>
      </c>
      <c r="AS8">
        <v>31</v>
      </c>
      <c r="AT8">
        <v>520.1</v>
      </c>
      <c r="AU8">
        <v>93.49</v>
      </c>
      <c r="AV8">
        <v>5.5620000000000003</v>
      </c>
      <c r="AW8">
        <v>176.5</v>
      </c>
      <c r="AY8">
        <v>30</v>
      </c>
      <c r="AZ8">
        <v>31</v>
      </c>
      <c r="BA8">
        <v>390</v>
      </c>
      <c r="BB8">
        <v>77.81</v>
      </c>
      <c r="BC8">
        <v>5.0119999999999996</v>
      </c>
      <c r="BD8">
        <v>160.5</v>
      </c>
      <c r="BF8">
        <v>20</v>
      </c>
      <c r="BG8">
        <v>31</v>
      </c>
      <c r="BH8">
        <v>260</v>
      </c>
      <c r="BI8">
        <v>67.13</v>
      </c>
      <c r="BJ8">
        <v>3.8730000000000002</v>
      </c>
      <c r="BK8">
        <v>149.5</v>
      </c>
      <c r="BM8">
        <v>15</v>
      </c>
      <c r="BN8">
        <v>31</v>
      </c>
      <c r="BO8">
        <v>195</v>
      </c>
      <c r="BP8">
        <v>66.349999999999994</v>
      </c>
      <c r="BQ8">
        <v>2.9380000000000002</v>
      </c>
      <c r="BR8">
        <v>148.5</v>
      </c>
    </row>
    <row r="9" spans="1:70" x14ac:dyDescent="0.25">
      <c r="A9" s="13">
        <v>100</v>
      </c>
      <c r="B9">
        <v>28</v>
      </c>
      <c r="C9">
        <v>1300</v>
      </c>
      <c r="D9">
        <v>201.8</v>
      </c>
      <c r="E9">
        <v>6.4409999999999998</v>
      </c>
      <c r="F9">
        <v>290.5</v>
      </c>
      <c r="I9">
        <v>90</v>
      </c>
      <c r="J9">
        <v>28</v>
      </c>
      <c r="K9">
        <v>1170</v>
      </c>
      <c r="L9">
        <v>181.4</v>
      </c>
      <c r="M9">
        <v>6.45</v>
      </c>
      <c r="N9">
        <v>267.5</v>
      </c>
      <c r="P9">
        <v>80</v>
      </c>
      <c r="Q9">
        <v>28</v>
      </c>
      <c r="R9">
        <v>1040</v>
      </c>
      <c r="S9">
        <v>156.9</v>
      </c>
      <c r="T9">
        <v>6.63</v>
      </c>
      <c r="U9">
        <v>242.5</v>
      </c>
      <c r="W9">
        <v>70</v>
      </c>
      <c r="X9">
        <v>28</v>
      </c>
      <c r="Y9">
        <v>910.2</v>
      </c>
      <c r="Z9">
        <v>134.30000000000001</v>
      </c>
      <c r="AA9">
        <v>6.7750000000000004</v>
      </c>
      <c r="AB9">
        <v>218.5</v>
      </c>
      <c r="AD9">
        <v>60</v>
      </c>
      <c r="AE9">
        <v>28</v>
      </c>
      <c r="AF9">
        <v>780</v>
      </c>
      <c r="AG9">
        <v>113.7</v>
      </c>
      <c r="AH9">
        <v>6.86</v>
      </c>
      <c r="AI9">
        <v>195.5</v>
      </c>
      <c r="AK9">
        <v>50</v>
      </c>
      <c r="AL9">
        <v>28</v>
      </c>
      <c r="AM9">
        <v>649.9</v>
      </c>
      <c r="AN9">
        <v>95.33</v>
      </c>
      <c r="AO9">
        <v>6.819</v>
      </c>
      <c r="AP9">
        <v>176.5</v>
      </c>
      <c r="AR9">
        <v>40</v>
      </c>
      <c r="AS9">
        <v>28</v>
      </c>
      <c r="AT9">
        <v>520.1</v>
      </c>
      <c r="AU9">
        <v>78.95</v>
      </c>
      <c r="AV9">
        <v>6.5860000000000003</v>
      </c>
      <c r="AW9">
        <v>158.5</v>
      </c>
      <c r="AY9">
        <v>30</v>
      </c>
      <c r="AZ9">
        <v>28</v>
      </c>
      <c r="BA9">
        <v>390</v>
      </c>
      <c r="BB9">
        <v>64.53</v>
      </c>
      <c r="BC9">
        <v>6.0439999999999996</v>
      </c>
      <c r="BD9">
        <v>143.5</v>
      </c>
      <c r="BF9">
        <v>20</v>
      </c>
      <c r="BG9">
        <v>28</v>
      </c>
      <c r="BH9">
        <v>260</v>
      </c>
      <c r="BI9">
        <v>53.21</v>
      </c>
      <c r="BJ9">
        <v>4.8869999999999996</v>
      </c>
      <c r="BK9">
        <v>131.5</v>
      </c>
      <c r="BM9">
        <v>15</v>
      </c>
      <c r="BN9">
        <v>28</v>
      </c>
      <c r="BO9">
        <v>195</v>
      </c>
      <c r="BP9">
        <v>52.03</v>
      </c>
      <c r="BQ9">
        <v>3.7480000000000002</v>
      </c>
      <c r="BR9">
        <v>132.5</v>
      </c>
    </row>
    <row r="10" spans="1:70" x14ac:dyDescent="0.25">
      <c r="A10" s="13">
        <v>100</v>
      </c>
      <c r="B10">
        <v>25</v>
      </c>
      <c r="C10">
        <v>1300</v>
      </c>
      <c r="D10">
        <v>178.2</v>
      </c>
      <c r="E10">
        <v>7.2949999999999999</v>
      </c>
      <c r="F10">
        <v>265.5</v>
      </c>
      <c r="I10">
        <v>90</v>
      </c>
      <c r="J10">
        <v>25</v>
      </c>
      <c r="K10">
        <v>1170</v>
      </c>
      <c r="L10">
        <v>159.80000000000001</v>
      </c>
      <c r="M10">
        <v>7.3230000000000004</v>
      </c>
      <c r="N10">
        <v>244.5</v>
      </c>
      <c r="P10">
        <v>80</v>
      </c>
      <c r="Q10">
        <v>25</v>
      </c>
      <c r="R10">
        <v>1040</v>
      </c>
      <c r="S10">
        <v>137.30000000000001</v>
      </c>
      <c r="T10">
        <v>7.5759999999999996</v>
      </c>
      <c r="U10">
        <v>220.5</v>
      </c>
      <c r="W10">
        <v>70</v>
      </c>
      <c r="X10">
        <v>25</v>
      </c>
      <c r="Y10">
        <v>910.2</v>
      </c>
      <c r="Z10">
        <v>116.5</v>
      </c>
      <c r="AA10">
        <v>7.8090000000000002</v>
      </c>
      <c r="AB10">
        <v>196.5</v>
      </c>
      <c r="AD10">
        <v>60</v>
      </c>
      <c r="AE10">
        <v>25</v>
      </c>
      <c r="AF10">
        <v>780</v>
      </c>
      <c r="AG10">
        <v>97.59</v>
      </c>
      <c r="AH10">
        <v>7.9930000000000003</v>
      </c>
      <c r="AI10">
        <v>177.5</v>
      </c>
      <c r="AK10">
        <v>50</v>
      </c>
      <c r="AL10">
        <v>25</v>
      </c>
      <c r="AM10">
        <v>649.9</v>
      </c>
      <c r="AN10">
        <v>80.81</v>
      </c>
      <c r="AO10">
        <v>8.0440000000000005</v>
      </c>
      <c r="AP10">
        <v>158.5</v>
      </c>
      <c r="AR10">
        <v>40</v>
      </c>
      <c r="AS10">
        <v>25</v>
      </c>
      <c r="AT10">
        <v>520.1</v>
      </c>
      <c r="AU10">
        <v>65.319999999999993</v>
      </c>
      <c r="AV10">
        <v>7.9610000000000003</v>
      </c>
      <c r="AW10">
        <v>143.5</v>
      </c>
      <c r="AY10">
        <v>30</v>
      </c>
      <c r="AZ10">
        <v>25</v>
      </c>
      <c r="BA10">
        <v>390</v>
      </c>
      <c r="BB10">
        <v>51.95</v>
      </c>
      <c r="BC10">
        <v>7.5090000000000003</v>
      </c>
      <c r="BD10">
        <v>129.5</v>
      </c>
      <c r="BF10">
        <v>20</v>
      </c>
      <c r="BG10">
        <v>25</v>
      </c>
      <c r="BH10">
        <v>260</v>
      </c>
      <c r="BI10">
        <v>41.02</v>
      </c>
      <c r="BJ10">
        <v>6.3380000000000001</v>
      </c>
      <c r="BK10">
        <v>118.5</v>
      </c>
      <c r="BM10">
        <v>15</v>
      </c>
      <c r="BN10">
        <v>25</v>
      </c>
      <c r="BO10">
        <v>195</v>
      </c>
      <c r="BP10">
        <v>37.18</v>
      </c>
      <c r="BQ10">
        <v>5.2450000000000001</v>
      </c>
      <c r="BR10">
        <v>113.5</v>
      </c>
    </row>
    <row r="11" spans="1:70" x14ac:dyDescent="0.25">
      <c r="A11" s="13">
        <v>100</v>
      </c>
      <c r="B11">
        <v>23</v>
      </c>
      <c r="C11">
        <v>1300</v>
      </c>
      <c r="D11">
        <v>164.1</v>
      </c>
      <c r="E11">
        <v>7.923</v>
      </c>
      <c r="F11">
        <v>247.5</v>
      </c>
      <c r="I11">
        <v>90</v>
      </c>
      <c r="J11">
        <v>23</v>
      </c>
      <c r="K11">
        <v>1170</v>
      </c>
      <c r="L11">
        <v>146.69999999999999</v>
      </c>
      <c r="M11">
        <v>7.9770000000000003</v>
      </c>
      <c r="N11">
        <v>227.5</v>
      </c>
      <c r="P11">
        <v>80</v>
      </c>
      <c r="Q11">
        <v>23</v>
      </c>
      <c r="R11">
        <v>1040</v>
      </c>
      <c r="S11">
        <v>125.3</v>
      </c>
      <c r="T11">
        <v>8.3010000000000002</v>
      </c>
      <c r="U11">
        <v>205.5</v>
      </c>
      <c r="W11">
        <v>70</v>
      </c>
      <c r="X11">
        <v>23</v>
      </c>
      <c r="Y11">
        <v>910.2</v>
      </c>
      <c r="Z11">
        <v>105.6</v>
      </c>
      <c r="AA11">
        <v>8.6180000000000003</v>
      </c>
      <c r="AB11">
        <v>185.5</v>
      </c>
      <c r="AD11">
        <v>60</v>
      </c>
      <c r="AE11">
        <v>23</v>
      </c>
      <c r="AF11">
        <v>780</v>
      </c>
      <c r="AG11">
        <v>87.8</v>
      </c>
      <c r="AH11">
        <v>8.8840000000000003</v>
      </c>
      <c r="AI11">
        <v>164.5</v>
      </c>
      <c r="AK11">
        <v>50</v>
      </c>
      <c r="AL11">
        <v>23</v>
      </c>
      <c r="AM11">
        <v>649.9</v>
      </c>
      <c r="AN11">
        <v>72.010000000000005</v>
      </c>
      <c r="AO11">
        <v>9.0269999999999992</v>
      </c>
      <c r="AP11">
        <v>148.5</v>
      </c>
      <c r="AR11">
        <v>40</v>
      </c>
      <c r="AS11">
        <v>23</v>
      </c>
      <c r="AT11">
        <v>520.1</v>
      </c>
      <c r="AU11">
        <v>58.07</v>
      </c>
      <c r="AV11">
        <v>8.9559999999999995</v>
      </c>
      <c r="AW11">
        <v>134.5</v>
      </c>
      <c r="AY11">
        <v>30</v>
      </c>
      <c r="AZ11">
        <v>23</v>
      </c>
      <c r="BA11">
        <v>390</v>
      </c>
      <c r="BB11">
        <v>45.86</v>
      </c>
      <c r="BC11">
        <v>8.5050000000000008</v>
      </c>
      <c r="BD11">
        <v>122.5</v>
      </c>
      <c r="BF11">
        <v>20</v>
      </c>
      <c r="BG11">
        <v>23</v>
      </c>
      <c r="BH11">
        <v>260</v>
      </c>
      <c r="BI11">
        <v>35.700000000000003</v>
      </c>
      <c r="BJ11">
        <v>7.2830000000000004</v>
      </c>
      <c r="BK11">
        <v>111.5</v>
      </c>
      <c r="BM11">
        <v>15</v>
      </c>
      <c r="BN11">
        <v>23</v>
      </c>
      <c r="BO11">
        <v>195</v>
      </c>
      <c r="BP11">
        <v>31.22</v>
      </c>
      <c r="BQ11">
        <v>6.2469999999999999</v>
      </c>
      <c r="BR11">
        <v>106.5</v>
      </c>
    </row>
    <row r="12" spans="1:70" x14ac:dyDescent="0.25">
      <c r="A12" s="13">
        <v>100</v>
      </c>
      <c r="B12">
        <v>20</v>
      </c>
      <c r="C12">
        <v>1300</v>
      </c>
      <c r="D12">
        <v>143.80000000000001</v>
      </c>
      <c r="E12">
        <v>9.0410000000000004</v>
      </c>
      <c r="F12">
        <v>223.5</v>
      </c>
      <c r="I12">
        <v>90</v>
      </c>
      <c r="J12">
        <v>20</v>
      </c>
      <c r="K12">
        <v>1170</v>
      </c>
      <c r="L12">
        <v>127.8</v>
      </c>
      <c r="M12">
        <v>9.1539999999999999</v>
      </c>
      <c r="N12">
        <v>206.5</v>
      </c>
      <c r="P12">
        <v>80</v>
      </c>
      <c r="Q12">
        <v>20</v>
      </c>
      <c r="R12">
        <v>1040</v>
      </c>
      <c r="S12">
        <v>108.3</v>
      </c>
      <c r="T12">
        <v>9.6069999999999993</v>
      </c>
      <c r="U12">
        <v>186.5</v>
      </c>
      <c r="W12">
        <v>70</v>
      </c>
      <c r="X12">
        <v>20</v>
      </c>
      <c r="Y12">
        <v>910.2</v>
      </c>
      <c r="Z12">
        <v>90.35</v>
      </c>
      <c r="AA12">
        <v>10.07</v>
      </c>
      <c r="AB12">
        <v>166.5</v>
      </c>
      <c r="AD12">
        <v>60</v>
      </c>
      <c r="AE12">
        <v>20</v>
      </c>
      <c r="AF12">
        <v>780</v>
      </c>
      <c r="AG12">
        <v>74.36</v>
      </c>
      <c r="AH12">
        <v>10.49</v>
      </c>
      <c r="AI12">
        <v>149.5</v>
      </c>
      <c r="AK12">
        <v>50</v>
      </c>
      <c r="AL12">
        <v>20</v>
      </c>
      <c r="AM12">
        <v>649.9</v>
      </c>
      <c r="AN12">
        <v>60.12</v>
      </c>
      <c r="AO12">
        <v>10.81</v>
      </c>
      <c r="AP12">
        <v>135.5</v>
      </c>
      <c r="AR12">
        <v>40</v>
      </c>
      <c r="AS12">
        <v>20</v>
      </c>
      <c r="AT12">
        <v>520.1</v>
      </c>
      <c r="AU12">
        <v>47.93</v>
      </c>
      <c r="AV12">
        <v>10.85</v>
      </c>
      <c r="AW12">
        <v>122.5</v>
      </c>
      <c r="AY12">
        <v>30</v>
      </c>
      <c r="AZ12">
        <v>20</v>
      </c>
      <c r="BA12">
        <v>390</v>
      </c>
      <c r="BB12">
        <v>36.979999999999997</v>
      </c>
      <c r="BC12">
        <v>10.55</v>
      </c>
      <c r="BD12">
        <v>111.5</v>
      </c>
      <c r="BF12">
        <v>20</v>
      </c>
      <c r="BG12">
        <v>20</v>
      </c>
      <c r="BH12">
        <v>260</v>
      </c>
      <c r="BI12">
        <v>27.75</v>
      </c>
      <c r="BJ12">
        <v>9.3710000000000004</v>
      </c>
      <c r="BK12">
        <v>101.5</v>
      </c>
      <c r="BM12">
        <v>15</v>
      </c>
      <c r="BN12">
        <v>20</v>
      </c>
      <c r="BO12">
        <v>195</v>
      </c>
      <c r="BP12">
        <v>23.9</v>
      </c>
      <c r="BQ12">
        <v>8.16</v>
      </c>
      <c r="BR12">
        <v>98.5</v>
      </c>
    </row>
    <row r="13" spans="1:70" x14ac:dyDescent="0.25">
      <c r="A13" s="13">
        <v>100</v>
      </c>
      <c r="B13">
        <v>17</v>
      </c>
      <c r="C13">
        <v>1300</v>
      </c>
      <c r="D13">
        <v>124.9</v>
      </c>
      <c r="E13">
        <v>10.41</v>
      </c>
      <c r="F13">
        <v>201.5</v>
      </c>
      <c r="I13">
        <v>90</v>
      </c>
      <c r="J13">
        <v>17</v>
      </c>
      <c r="K13">
        <v>1170</v>
      </c>
      <c r="L13">
        <v>110.5</v>
      </c>
      <c r="M13">
        <v>10.59</v>
      </c>
      <c r="N13">
        <v>185.5</v>
      </c>
      <c r="P13">
        <v>80</v>
      </c>
      <c r="Q13">
        <v>17</v>
      </c>
      <c r="R13">
        <v>1040</v>
      </c>
      <c r="S13">
        <v>92.69</v>
      </c>
      <c r="T13">
        <v>11.22</v>
      </c>
      <c r="U13">
        <v>166.5</v>
      </c>
      <c r="W13">
        <v>70</v>
      </c>
      <c r="X13">
        <v>17</v>
      </c>
      <c r="Y13">
        <v>910.2</v>
      </c>
      <c r="Z13">
        <v>76.400000000000006</v>
      </c>
      <c r="AA13">
        <v>11.91</v>
      </c>
      <c r="AB13">
        <v>150.5</v>
      </c>
      <c r="AD13">
        <v>60</v>
      </c>
      <c r="AE13">
        <v>17</v>
      </c>
      <c r="AF13">
        <v>780</v>
      </c>
      <c r="AG13">
        <v>62.02</v>
      </c>
      <c r="AH13">
        <v>12.58</v>
      </c>
      <c r="AI13">
        <v>135.5</v>
      </c>
      <c r="AK13">
        <v>50</v>
      </c>
      <c r="AL13">
        <v>17</v>
      </c>
      <c r="AM13">
        <v>649.9</v>
      </c>
      <c r="AN13">
        <v>49.46</v>
      </c>
      <c r="AO13">
        <v>13.14</v>
      </c>
      <c r="AP13">
        <v>122.5</v>
      </c>
      <c r="AR13">
        <v>40</v>
      </c>
      <c r="AS13">
        <v>17</v>
      </c>
      <c r="AT13">
        <v>520.1</v>
      </c>
      <c r="AU13">
        <v>38.54</v>
      </c>
      <c r="AV13">
        <v>13.49</v>
      </c>
      <c r="AW13">
        <v>111.5</v>
      </c>
      <c r="AY13">
        <v>30</v>
      </c>
      <c r="AZ13">
        <v>17</v>
      </c>
      <c r="BA13">
        <v>390</v>
      </c>
      <c r="BB13">
        <v>29.28</v>
      </c>
      <c r="BC13">
        <v>13.32</v>
      </c>
      <c r="BD13">
        <v>102.5</v>
      </c>
      <c r="BF13">
        <v>20</v>
      </c>
      <c r="BG13">
        <v>17</v>
      </c>
      <c r="BH13">
        <v>260</v>
      </c>
      <c r="BI13">
        <v>21.09</v>
      </c>
      <c r="BJ13">
        <v>12.33</v>
      </c>
      <c r="BK13">
        <v>93.5</v>
      </c>
      <c r="BM13">
        <v>15</v>
      </c>
      <c r="BN13">
        <v>17</v>
      </c>
      <c r="BO13">
        <v>195</v>
      </c>
      <c r="BP13">
        <v>17.579999999999998</v>
      </c>
      <c r="BQ13">
        <v>11.09</v>
      </c>
      <c r="BR13">
        <v>90.5</v>
      </c>
    </row>
    <row r="14" spans="1:70" x14ac:dyDescent="0.25">
      <c r="A14" s="13">
        <v>100</v>
      </c>
      <c r="B14">
        <v>14</v>
      </c>
      <c r="C14">
        <v>1300</v>
      </c>
      <c r="D14">
        <v>107.5</v>
      </c>
      <c r="E14">
        <v>12.09</v>
      </c>
      <c r="F14">
        <v>182.5</v>
      </c>
      <c r="I14">
        <v>90</v>
      </c>
      <c r="J14">
        <v>14</v>
      </c>
      <c r="K14">
        <v>1170</v>
      </c>
      <c r="L14">
        <v>94.44</v>
      </c>
      <c r="M14">
        <v>12.39</v>
      </c>
      <c r="N14">
        <v>168.5</v>
      </c>
      <c r="P14">
        <v>80</v>
      </c>
      <c r="Q14">
        <v>14</v>
      </c>
      <c r="R14">
        <v>1040</v>
      </c>
      <c r="S14">
        <v>78.02</v>
      </c>
      <c r="T14">
        <v>13.33</v>
      </c>
      <c r="U14">
        <v>150.5</v>
      </c>
      <c r="W14">
        <v>70</v>
      </c>
      <c r="X14">
        <v>14</v>
      </c>
      <c r="Y14">
        <v>910.2</v>
      </c>
      <c r="Z14">
        <v>63.48</v>
      </c>
      <c r="AA14">
        <v>14.34</v>
      </c>
      <c r="AB14">
        <v>135.5</v>
      </c>
      <c r="AD14">
        <v>60</v>
      </c>
      <c r="AE14">
        <v>14</v>
      </c>
      <c r="AF14">
        <v>780</v>
      </c>
      <c r="AG14">
        <v>50.72</v>
      </c>
      <c r="AH14">
        <v>15.38</v>
      </c>
      <c r="AI14">
        <v>122.5</v>
      </c>
      <c r="AK14">
        <v>50</v>
      </c>
      <c r="AL14">
        <v>14</v>
      </c>
      <c r="AM14">
        <v>649.9</v>
      </c>
      <c r="AN14">
        <v>39.44</v>
      </c>
      <c r="AO14">
        <v>16.48</v>
      </c>
      <c r="AP14">
        <v>109.5</v>
      </c>
      <c r="AR14">
        <v>40</v>
      </c>
      <c r="AS14">
        <v>14</v>
      </c>
      <c r="AT14">
        <v>520.1</v>
      </c>
      <c r="AU14">
        <v>29.72</v>
      </c>
      <c r="AV14">
        <v>17.5</v>
      </c>
      <c r="AW14">
        <v>100.5</v>
      </c>
      <c r="AY14">
        <v>30</v>
      </c>
      <c r="AZ14">
        <v>14</v>
      </c>
      <c r="BA14">
        <v>390</v>
      </c>
      <c r="BB14">
        <v>21.61</v>
      </c>
      <c r="BC14">
        <v>18.05</v>
      </c>
      <c r="BD14">
        <v>93.5</v>
      </c>
      <c r="BF14">
        <v>20</v>
      </c>
      <c r="BG14">
        <v>14</v>
      </c>
      <c r="BH14">
        <v>260</v>
      </c>
      <c r="BI14">
        <v>15.76</v>
      </c>
      <c r="BJ14">
        <v>16.5</v>
      </c>
      <c r="BK14">
        <v>89.5</v>
      </c>
      <c r="BM14">
        <v>15</v>
      </c>
      <c r="BN14">
        <v>14</v>
      </c>
      <c r="BO14">
        <v>195</v>
      </c>
      <c r="BP14">
        <v>14.06</v>
      </c>
      <c r="BQ14">
        <v>13.87</v>
      </c>
      <c r="BR14">
        <v>87.5</v>
      </c>
    </row>
    <row r="15" spans="1:70" x14ac:dyDescent="0.25">
      <c r="A15" s="13">
        <v>100</v>
      </c>
      <c r="B15">
        <v>11</v>
      </c>
      <c r="C15">
        <v>1300</v>
      </c>
      <c r="D15">
        <v>92.56</v>
      </c>
      <c r="E15">
        <v>14.05</v>
      </c>
      <c r="F15">
        <v>168.5</v>
      </c>
      <c r="I15">
        <v>90</v>
      </c>
      <c r="J15">
        <v>11</v>
      </c>
      <c r="K15">
        <v>1170</v>
      </c>
      <c r="L15">
        <v>79.45</v>
      </c>
      <c r="M15">
        <v>14.73</v>
      </c>
      <c r="N15">
        <v>150.5</v>
      </c>
      <c r="P15">
        <v>80</v>
      </c>
      <c r="Q15">
        <v>11</v>
      </c>
      <c r="R15">
        <v>1040</v>
      </c>
      <c r="S15">
        <v>64.739999999999995</v>
      </c>
      <c r="T15">
        <v>16.07</v>
      </c>
      <c r="U15">
        <v>136.5</v>
      </c>
      <c r="W15">
        <v>70</v>
      </c>
      <c r="X15">
        <v>11</v>
      </c>
      <c r="Y15">
        <v>910.2</v>
      </c>
      <c r="Z15">
        <v>51.59</v>
      </c>
      <c r="AA15">
        <v>17.64</v>
      </c>
      <c r="AB15">
        <v>119.5</v>
      </c>
      <c r="AD15">
        <v>60</v>
      </c>
      <c r="AE15">
        <v>11</v>
      </c>
      <c r="AF15">
        <v>780</v>
      </c>
      <c r="AG15">
        <v>39.76</v>
      </c>
      <c r="AH15">
        <v>19.63</v>
      </c>
      <c r="AI15">
        <v>108.5</v>
      </c>
      <c r="AK15">
        <v>50</v>
      </c>
      <c r="AL15">
        <v>11</v>
      </c>
      <c r="AM15">
        <v>649.9</v>
      </c>
      <c r="AN15">
        <v>30.14</v>
      </c>
      <c r="AO15">
        <v>21.56</v>
      </c>
      <c r="AP15">
        <v>99.5</v>
      </c>
      <c r="AR15">
        <v>40</v>
      </c>
      <c r="AS15">
        <v>11</v>
      </c>
      <c r="AT15">
        <v>520.1</v>
      </c>
      <c r="AU15">
        <v>22.24</v>
      </c>
      <c r="AV15">
        <v>23.38</v>
      </c>
      <c r="AW15">
        <v>93.5</v>
      </c>
      <c r="AY15">
        <v>30</v>
      </c>
      <c r="AZ15">
        <v>11</v>
      </c>
      <c r="BA15">
        <v>390</v>
      </c>
      <c r="BB15">
        <v>17.55</v>
      </c>
      <c r="BC15">
        <v>22.23</v>
      </c>
      <c r="BD15">
        <v>91.5</v>
      </c>
      <c r="BF15">
        <v>20</v>
      </c>
      <c r="BG15">
        <v>11</v>
      </c>
      <c r="BH15">
        <v>260</v>
      </c>
      <c r="BI15">
        <v>14.8</v>
      </c>
      <c r="BJ15">
        <v>17.57</v>
      </c>
      <c r="BK15">
        <v>89.5</v>
      </c>
      <c r="BM15">
        <v>15</v>
      </c>
      <c r="BN15">
        <v>11</v>
      </c>
      <c r="BO15">
        <v>195</v>
      </c>
      <c r="BP15">
        <v>13.2</v>
      </c>
      <c r="BQ15">
        <v>14.77</v>
      </c>
      <c r="BR15">
        <v>87.5</v>
      </c>
    </row>
    <row r="16" spans="1:70" x14ac:dyDescent="0.25">
      <c r="A16" s="13">
        <v>100</v>
      </c>
      <c r="B16">
        <v>9</v>
      </c>
      <c r="C16">
        <v>1300</v>
      </c>
      <c r="D16">
        <v>83.85</v>
      </c>
      <c r="E16">
        <v>15.51</v>
      </c>
      <c r="F16">
        <v>156.5</v>
      </c>
      <c r="I16">
        <v>90</v>
      </c>
      <c r="J16">
        <v>9</v>
      </c>
      <c r="K16">
        <v>1170</v>
      </c>
      <c r="L16">
        <v>71.03</v>
      </c>
      <c r="M16">
        <v>16.47</v>
      </c>
      <c r="N16">
        <v>144.5</v>
      </c>
      <c r="P16">
        <v>80</v>
      </c>
      <c r="Q16">
        <v>9</v>
      </c>
      <c r="R16">
        <v>1040</v>
      </c>
      <c r="S16">
        <v>57.14</v>
      </c>
      <c r="T16">
        <v>18.2</v>
      </c>
      <c r="U16">
        <v>128.5</v>
      </c>
      <c r="W16">
        <v>70</v>
      </c>
      <c r="X16">
        <v>9</v>
      </c>
      <c r="Y16">
        <v>910.2</v>
      </c>
      <c r="Z16">
        <v>44.17</v>
      </c>
      <c r="AA16">
        <v>20.6</v>
      </c>
      <c r="AB16">
        <v>115.5</v>
      </c>
      <c r="AD16">
        <v>60</v>
      </c>
      <c r="AE16">
        <v>9</v>
      </c>
      <c r="AF16">
        <v>780</v>
      </c>
      <c r="AG16">
        <v>34.619999999999997</v>
      </c>
      <c r="AH16">
        <v>22.53</v>
      </c>
      <c r="AI16">
        <v>107.5</v>
      </c>
      <c r="AK16">
        <v>50</v>
      </c>
      <c r="AL16">
        <v>9</v>
      </c>
      <c r="AM16">
        <v>649.9</v>
      </c>
      <c r="AN16">
        <v>26.67</v>
      </c>
      <c r="AO16">
        <v>24.37</v>
      </c>
      <c r="AP16">
        <v>100.5</v>
      </c>
      <c r="AR16">
        <v>40</v>
      </c>
      <c r="AS16">
        <v>9</v>
      </c>
      <c r="AT16">
        <v>520.1</v>
      </c>
      <c r="AU16">
        <v>19.690000000000001</v>
      </c>
      <c r="AV16">
        <v>26.4</v>
      </c>
      <c r="AW16">
        <v>93.5</v>
      </c>
      <c r="AY16">
        <v>30</v>
      </c>
      <c r="AZ16">
        <v>9</v>
      </c>
      <c r="BA16">
        <v>390</v>
      </c>
      <c r="BB16">
        <v>16.82</v>
      </c>
      <c r="BC16">
        <v>23.18</v>
      </c>
      <c r="BD16">
        <v>91.5</v>
      </c>
      <c r="BF16">
        <v>20</v>
      </c>
      <c r="BG16">
        <v>9</v>
      </c>
      <c r="BH16">
        <v>260</v>
      </c>
      <c r="BI16">
        <v>14.32</v>
      </c>
      <c r="BJ16">
        <v>18.149999999999999</v>
      </c>
      <c r="BK16">
        <v>88.5</v>
      </c>
      <c r="BM16">
        <v>15</v>
      </c>
      <c r="BN16">
        <v>9</v>
      </c>
      <c r="BO16">
        <v>195</v>
      </c>
      <c r="BP16">
        <v>13.06</v>
      </c>
      <c r="BQ16">
        <v>14.93</v>
      </c>
      <c r="BR16">
        <v>87.5</v>
      </c>
    </row>
    <row r="17" spans="1:70" x14ac:dyDescent="0.25">
      <c r="A17" s="13">
        <v>100</v>
      </c>
      <c r="B17">
        <v>6</v>
      </c>
      <c r="C17">
        <v>1300</v>
      </c>
      <c r="D17">
        <v>73.2</v>
      </c>
      <c r="E17">
        <v>17.760000000000002</v>
      </c>
      <c r="F17">
        <v>152.5</v>
      </c>
      <c r="I17">
        <v>90</v>
      </c>
      <c r="J17">
        <v>6</v>
      </c>
      <c r="K17">
        <v>1170</v>
      </c>
      <c r="L17">
        <v>60.87</v>
      </c>
      <c r="M17">
        <v>19.22</v>
      </c>
      <c r="N17">
        <v>135.5</v>
      </c>
      <c r="P17">
        <v>80</v>
      </c>
      <c r="Q17">
        <v>6</v>
      </c>
      <c r="R17">
        <v>1040</v>
      </c>
      <c r="S17">
        <v>48.31</v>
      </c>
      <c r="T17">
        <v>21.52</v>
      </c>
      <c r="U17">
        <v>122.5</v>
      </c>
      <c r="W17">
        <v>70</v>
      </c>
      <c r="X17">
        <v>6</v>
      </c>
      <c r="Y17">
        <v>910.2</v>
      </c>
      <c r="Z17">
        <v>36.729999999999997</v>
      </c>
      <c r="AA17">
        <v>24.77</v>
      </c>
      <c r="AB17">
        <v>110.5</v>
      </c>
      <c r="AD17">
        <v>60</v>
      </c>
      <c r="AE17">
        <v>6</v>
      </c>
      <c r="AF17">
        <v>780</v>
      </c>
      <c r="AG17">
        <v>28.62</v>
      </c>
      <c r="AH17">
        <v>27.26</v>
      </c>
      <c r="AI17">
        <v>102.5</v>
      </c>
      <c r="AK17">
        <v>50</v>
      </c>
      <c r="AL17">
        <v>6</v>
      </c>
      <c r="AM17">
        <v>649.9</v>
      </c>
      <c r="AN17">
        <v>22.36</v>
      </c>
      <c r="AO17">
        <v>29.07</v>
      </c>
      <c r="AP17">
        <v>96.5</v>
      </c>
      <c r="AR17">
        <v>40</v>
      </c>
      <c r="AS17">
        <v>6</v>
      </c>
      <c r="AT17">
        <v>520.1</v>
      </c>
      <c r="AU17">
        <v>18.07</v>
      </c>
      <c r="AV17">
        <v>28.78</v>
      </c>
      <c r="AW17">
        <v>92.5</v>
      </c>
      <c r="AY17">
        <v>30</v>
      </c>
      <c r="AZ17">
        <v>6</v>
      </c>
      <c r="BA17">
        <v>390</v>
      </c>
      <c r="BB17">
        <v>16.260000000000002</v>
      </c>
      <c r="BC17">
        <v>23.99</v>
      </c>
      <c r="BD17">
        <v>91.5</v>
      </c>
      <c r="BF17">
        <v>20</v>
      </c>
      <c r="BG17">
        <v>6</v>
      </c>
      <c r="BH17">
        <v>260</v>
      </c>
      <c r="BI17">
        <v>14.06</v>
      </c>
      <c r="BJ17">
        <v>18.489999999999998</v>
      </c>
      <c r="BK17">
        <v>88.5</v>
      </c>
      <c r="BM17">
        <v>15</v>
      </c>
      <c r="BN17">
        <v>6</v>
      </c>
      <c r="BO17">
        <v>195</v>
      </c>
      <c r="BP17">
        <v>12.92</v>
      </c>
      <c r="BQ17">
        <v>15.09</v>
      </c>
      <c r="BR17">
        <v>87.5</v>
      </c>
    </row>
    <row r="18" spans="1:70" x14ac:dyDescent="0.25">
      <c r="A18" s="13">
        <v>100</v>
      </c>
      <c r="B18">
        <v>3</v>
      </c>
      <c r="C18">
        <v>1300</v>
      </c>
      <c r="D18">
        <v>66.47</v>
      </c>
      <c r="E18">
        <v>19.559999999999999</v>
      </c>
      <c r="F18">
        <v>148.5</v>
      </c>
      <c r="I18">
        <v>90</v>
      </c>
      <c r="J18">
        <v>3</v>
      </c>
      <c r="K18">
        <v>1170</v>
      </c>
      <c r="L18">
        <v>54.89</v>
      </c>
      <c r="M18">
        <v>21.32</v>
      </c>
      <c r="N18">
        <v>133.5</v>
      </c>
      <c r="P18">
        <v>80</v>
      </c>
      <c r="Q18">
        <v>3</v>
      </c>
      <c r="R18">
        <v>1040</v>
      </c>
      <c r="S18">
        <v>41.71</v>
      </c>
      <c r="T18">
        <v>24.94</v>
      </c>
      <c r="U18">
        <v>117.5</v>
      </c>
      <c r="W18">
        <v>70</v>
      </c>
      <c r="X18">
        <v>3</v>
      </c>
      <c r="Y18">
        <v>910.2</v>
      </c>
      <c r="Z18">
        <v>32.1</v>
      </c>
      <c r="AA18">
        <v>28.34</v>
      </c>
      <c r="AB18">
        <v>107.5</v>
      </c>
      <c r="AD18">
        <v>60</v>
      </c>
      <c r="AE18">
        <v>3</v>
      </c>
      <c r="AF18">
        <v>780</v>
      </c>
      <c r="AG18">
        <v>25.37</v>
      </c>
      <c r="AH18">
        <v>30.74</v>
      </c>
      <c r="AI18">
        <v>100.5</v>
      </c>
      <c r="AK18">
        <v>50</v>
      </c>
      <c r="AL18">
        <v>3</v>
      </c>
      <c r="AM18">
        <v>649.9</v>
      </c>
      <c r="AN18">
        <v>20.45</v>
      </c>
      <c r="AO18">
        <v>31.77</v>
      </c>
      <c r="AP18">
        <v>95.5</v>
      </c>
      <c r="AR18">
        <v>40</v>
      </c>
      <c r="AS18">
        <v>3</v>
      </c>
      <c r="AT18">
        <v>520.1</v>
      </c>
      <c r="AU18">
        <v>17.649999999999999</v>
      </c>
      <c r="AV18">
        <v>29.46</v>
      </c>
      <c r="AW18">
        <v>92.5</v>
      </c>
      <c r="AY18">
        <v>30</v>
      </c>
      <c r="AZ18">
        <v>3</v>
      </c>
      <c r="BA18">
        <v>390</v>
      </c>
      <c r="BB18">
        <v>16.329999999999998</v>
      </c>
      <c r="BC18">
        <v>23.88</v>
      </c>
      <c r="BD18">
        <v>91.5</v>
      </c>
      <c r="BF18">
        <v>20</v>
      </c>
      <c r="BG18">
        <v>3</v>
      </c>
      <c r="BH18">
        <v>260</v>
      </c>
      <c r="BI18">
        <v>13.86</v>
      </c>
      <c r="BJ18">
        <v>18.760000000000002</v>
      </c>
      <c r="BK18">
        <v>88.5</v>
      </c>
      <c r="BM18">
        <v>15</v>
      </c>
      <c r="BN18">
        <v>3</v>
      </c>
      <c r="BO18">
        <v>195</v>
      </c>
      <c r="BP18">
        <v>12.94</v>
      </c>
      <c r="BQ18">
        <v>15.07</v>
      </c>
      <c r="BR18">
        <v>87.5</v>
      </c>
    </row>
    <row r="19" spans="1:70" x14ac:dyDescent="0.25">
      <c r="A19" s="13">
        <v>100</v>
      </c>
      <c r="B19">
        <v>0</v>
      </c>
      <c r="C19">
        <v>1300</v>
      </c>
      <c r="D19">
        <v>62.43</v>
      </c>
      <c r="E19">
        <v>20.82</v>
      </c>
      <c r="F19">
        <v>144.5</v>
      </c>
      <c r="I19">
        <v>90</v>
      </c>
      <c r="J19">
        <v>0</v>
      </c>
      <c r="K19">
        <v>1170</v>
      </c>
      <c r="L19">
        <v>50.62</v>
      </c>
      <c r="M19">
        <v>23.11</v>
      </c>
      <c r="N19">
        <v>130.5</v>
      </c>
      <c r="P19">
        <v>80</v>
      </c>
      <c r="Q19">
        <v>0</v>
      </c>
      <c r="R19">
        <v>1040</v>
      </c>
      <c r="S19">
        <v>37.729999999999997</v>
      </c>
      <c r="T19">
        <v>27.56</v>
      </c>
      <c r="U19">
        <v>114.5</v>
      </c>
      <c r="W19">
        <v>70</v>
      </c>
      <c r="X19">
        <v>0</v>
      </c>
      <c r="Y19">
        <v>910.2</v>
      </c>
      <c r="Z19">
        <v>28.92</v>
      </c>
      <c r="AA19">
        <v>31.46</v>
      </c>
      <c r="AB19">
        <v>104.5</v>
      </c>
      <c r="AD19">
        <v>60</v>
      </c>
      <c r="AE19">
        <v>0</v>
      </c>
      <c r="AF19">
        <v>780</v>
      </c>
      <c r="AG19">
        <v>22.52</v>
      </c>
      <c r="AH19">
        <v>34.619999999999997</v>
      </c>
      <c r="AI19">
        <v>97.5</v>
      </c>
      <c r="AK19">
        <v>50</v>
      </c>
      <c r="AL19">
        <v>0</v>
      </c>
      <c r="AM19">
        <v>649.9</v>
      </c>
      <c r="AN19">
        <v>18.53</v>
      </c>
      <c r="AO19">
        <v>35.1</v>
      </c>
      <c r="AP19">
        <v>93.5</v>
      </c>
      <c r="AR19">
        <v>40</v>
      </c>
      <c r="AS19">
        <v>0</v>
      </c>
      <c r="AT19">
        <v>520.1</v>
      </c>
      <c r="AU19">
        <v>16.79</v>
      </c>
      <c r="AV19">
        <v>30.96</v>
      </c>
      <c r="AW19">
        <v>91.5</v>
      </c>
      <c r="AY19">
        <v>30</v>
      </c>
      <c r="AZ19">
        <v>0</v>
      </c>
      <c r="BA19">
        <v>390</v>
      </c>
      <c r="BB19">
        <v>15.96</v>
      </c>
      <c r="BC19">
        <v>24.42</v>
      </c>
      <c r="BD19">
        <v>91.5</v>
      </c>
      <c r="BF19">
        <v>20</v>
      </c>
      <c r="BG19">
        <v>0</v>
      </c>
      <c r="BH19">
        <v>260</v>
      </c>
      <c r="BI19">
        <v>14.28</v>
      </c>
      <c r="BJ19">
        <v>18.21</v>
      </c>
      <c r="BK19">
        <v>89.5</v>
      </c>
      <c r="BM19">
        <v>15</v>
      </c>
      <c r="BN19">
        <v>0</v>
      </c>
      <c r="BO19">
        <v>195</v>
      </c>
      <c r="BP19">
        <v>13.34</v>
      </c>
      <c r="BQ19">
        <v>14.61</v>
      </c>
      <c r="BR19">
        <v>87.5</v>
      </c>
    </row>
    <row r="20" spans="1:70" x14ac:dyDescent="0.25">
      <c r="A20" s="13">
        <v>100</v>
      </c>
      <c r="B20">
        <v>-3</v>
      </c>
      <c r="C20">
        <v>1300</v>
      </c>
      <c r="D20">
        <v>59.26</v>
      </c>
      <c r="E20">
        <v>21.94</v>
      </c>
      <c r="F20">
        <v>142.5</v>
      </c>
      <c r="I20">
        <v>90</v>
      </c>
      <c r="J20">
        <v>-3</v>
      </c>
      <c r="K20">
        <v>1170</v>
      </c>
      <c r="L20">
        <v>48.18</v>
      </c>
      <c r="M20">
        <v>24.29</v>
      </c>
      <c r="N20">
        <v>128.5</v>
      </c>
      <c r="P20">
        <v>80</v>
      </c>
      <c r="Q20">
        <v>-3</v>
      </c>
      <c r="R20">
        <v>1040</v>
      </c>
      <c r="S20">
        <v>35.880000000000003</v>
      </c>
      <c r="T20">
        <v>28.99</v>
      </c>
      <c r="U20">
        <v>114.5</v>
      </c>
      <c r="W20">
        <v>70</v>
      </c>
      <c r="X20">
        <v>-3</v>
      </c>
      <c r="Y20">
        <v>910.2</v>
      </c>
      <c r="Z20">
        <v>27.75</v>
      </c>
      <c r="AA20">
        <v>32.81</v>
      </c>
      <c r="AB20">
        <v>104.5</v>
      </c>
      <c r="AD20">
        <v>60</v>
      </c>
      <c r="AE20">
        <v>-3</v>
      </c>
      <c r="AF20">
        <v>780</v>
      </c>
      <c r="AG20">
        <v>22.48</v>
      </c>
      <c r="AH20">
        <v>34.68</v>
      </c>
      <c r="AI20">
        <v>98.5</v>
      </c>
      <c r="AK20">
        <v>50</v>
      </c>
      <c r="AL20">
        <v>-3</v>
      </c>
      <c r="AM20">
        <v>649.9</v>
      </c>
      <c r="AN20">
        <v>18.27</v>
      </c>
      <c r="AO20">
        <v>35.590000000000003</v>
      </c>
      <c r="AP20">
        <v>93.5</v>
      </c>
      <c r="AR20">
        <v>40</v>
      </c>
      <c r="AS20">
        <v>-3</v>
      </c>
      <c r="AT20">
        <v>520.1</v>
      </c>
      <c r="AU20">
        <v>16.579999999999998</v>
      </c>
      <c r="AV20">
        <v>31.35</v>
      </c>
      <c r="AW20">
        <v>91.5</v>
      </c>
      <c r="AY20">
        <v>30</v>
      </c>
      <c r="AZ20">
        <v>-3</v>
      </c>
      <c r="BA20">
        <v>390</v>
      </c>
      <c r="BB20">
        <v>15.94</v>
      </c>
      <c r="BC20">
        <v>24.47</v>
      </c>
      <c r="BD20">
        <v>91.5</v>
      </c>
      <c r="BF20">
        <v>20</v>
      </c>
      <c r="BG20">
        <v>-3</v>
      </c>
      <c r="BH20">
        <v>260</v>
      </c>
      <c r="BI20">
        <v>13.81</v>
      </c>
      <c r="BJ20">
        <v>18.829999999999998</v>
      </c>
      <c r="BK20">
        <v>88.5</v>
      </c>
      <c r="BM20">
        <v>15</v>
      </c>
      <c r="BN20">
        <v>-3</v>
      </c>
      <c r="BO20">
        <v>195</v>
      </c>
      <c r="BP20">
        <v>12.78</v>
      </c>
      <c r="BQ20">
        <v>15.25</v>
      </c>
      <c r="BR20">
        <v>87.5</v>
      </c>
    </row>
    <row r="21" spans="1:70" x14ac:dyDescent="0.25">
      <c r="A21" s="13">
        <v>100</v>
      </c>
      <c r="B21">
        <v>-5</v>
      </c>
      <c r="C21">
        <v>1300</v>
      </c>
      <c r="D21">
        <v>58.36</v>
      </c>
      <c r="E21">
        <v>22.27</v>
      </c>
      <c r="F21">
        <v>142.5</v>
      </c>
      <c r="I21">
        <v>90</v>
      </c>
      <c r="J21">
        <v>-5</v>
      </c>
      <c r="K21">
        <v>1170</v>
      </c>
      <c r="L21">
        <v>47.34</v>
      </c>
      <c r="M21">
        <v>24.72</v>
      </c>
      <c r="N21">
        <v>128.5</v>
      </c>
      <c r="P21">
        <v>80</v>
      </c>
      <c r="Q21">
        <v>-5</v>
      </c>
      <c r="R21">
        <v>1040</v>
      </c>
      <c r="S21">
        <v>35.32</v>
      </c>
      <c r="T21">
        <v>29.46</v>
      </c>
      <c r="U21">
        <v>114.5</v>
      </c>
      <c r="W21">
        <v>70</v>
      </c>
      <c r="X21">
        <v>-5</v>
      </c>
      <c r="Y21">
        <v>910.2</v>
      </c>
      <c r="Z21">
        <v>27.42</v>
      </c>
      <c r="AA21">
        <v>33.18</v>
      </c>
      <c r="AB21">
        <v>104.5</v>
      </c>
      <c r="AD21">
        <v>60</v>
      </c>
      <c r="AE21">
        <v>-5</v>
      </c>
      <c r="AF21">
        <v>780</v>
      </c>
      <c r="AG21">
        <v>22.53</v>
      </c>
      <c r="AH21">
        <v>34.619999999999997</v>
      </c>
      <c r="AI21">
        <v>98.5</v>
      </c>
      <c r="AK21">
        <v>50</v>
      </c>
      <c r="AL21">
        <v>-5</v>
      </c>
      <c r="AM21">
        <v>649.9</v>
      </c>
      <c r="AN21">
        <v>18.420000000000002</v>
      </c>
      <c r="AO21">
        <v>35.29</v>
      </c>
      <c r="AP21">
        <v>93.5</v>
      </c>
      <c r="AR21">
        <v>40</v>
      </c>
      <c r="AS21">
        <v>-5</v>
      </c>
      <c r="AT21">
        <v>520.1</v>
      </c>
      <c r="AU21">
        <v>16.48</v>
      </c>
      <c r="AV21">
        <v>31.57</v>
      </c>
      <c r="AW21">
        <v>91.5</v>
      </c>
      <c r="AY21">
        <v>30</v>
      </c>
      <c r="AZ21">
        <v>-5</v>
      </c>
      <c r="BA21">
        <v>390</v>
      </c>
      <c r="BB21">
        <v>15.83</v>
      </c>
      <c r="BC21">
        <v>24.63</v>
      </c>
      <c r="BD21">
        <v>91.5</v>
      </c>
      <c r="BF21">
        <v>20</v>
      </c>
      <c r="BG21">
        <v>-5</v>
      </c>
      <c r="BH21">
        <v>260</v>
      </c>
      <c r="BI21">
        <v>13.93</v>
      </c>
      <c r="BJ21">
        <v>18.670000000000002</v>
      </c>
      <c r="BK21">
        <v>88.5</v>
      </c>
      <c r="BM21">
        <v>15</v>
      </c>
      <c r="BN21">
        <v>-5</v>
      </c>
      <c r="BO21">
        <v>195</v>
      </c>
      <c r="BP21">
        <v>12.77</v>
      </c>
      <c r="BQ21">
        <v>15.27</v>
      </c>
      <c r="BR21">
        <v>87.5</v>
      </c>
    </row>
  </sheetData>
  <phoneticPr fontId="5" type="noConversion"/>
  <pageMargins left="0.7" right="0.7" top="0.75" bottom="0.75" header="0.3" footer="0.3"/>
  <pageSetup paperSize="9"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B29"/>
  <sheetViews>
    <sheetView zoomScaleNormal="100" workbookViewId="0">
      <selection activeCell="AB27" sqref="Y24:AB27"/>
    </sheetView>
  </sheetViews>
  <sheetFormatPr defaultRowHeight="14.4" x14ac:dyDescent="0.25"/>
  <cols>
    <col min="1" max="1" width="12.88671875" customWidth="1"/>
    <col min="2" max="3" width="11.5546875" customWidth="1"/>
    <col min="4" max="4" width="11.44140625" customWidth="1"/>
    <col min="5" max="5" width="10" customWidth="1"/>
    <col min="6" max="6" width="16.109375" bestFit="1" customWidth="1"/>
    <col min="7" max="7" width="6.5546875" bestFit="1" customWidth="1"/>
    <col min="8" max="8" width="14.109375" bestFit="1" customWidth="1"/>
    <col min="10" max="10" width="14.109375" bestFit="1" customWidth="1"/>
    <col min="11" max="11" width="12.88671875" customWidth="1"/>
    <col min="12" max="12" width="12.88671875" bestFit="1" customWidth="1"/>
    <col min="13" max="13" width="13" hidden="1" customWidth="1"/>
    <col min="14" max="14" width="12.88671875" hidden="1" customWidth="1"/>
    <col min="15" max="15" width="13.33203125" customWidth="1"/>
    <col min="16" max="16" width="12.88671875" bestFit="1" customWidth="1"/>
    <col min="18" max="18" width="13" customWidth="1"/>
    <col min="19" max="19" width="10.77734375" customWidth="1"/>
    <col min="20" max="20" width="12.44140625" customWidth="1"/>
    <col min="22" max="22" width="12.88671875" bestFit="1" customWidth="1"/>
    <col min="23" max="23" width="0" hidden="1" customWidth="1"/>
    <col min="24" max="24" width="12.88671875" hidden="1" customWidth="1"/>
    <col min="25" max="25" width="10.5546875" customWidth="1"/>
    <col min="26" max="26" width="12.88671875" bestFit="1" customWidth="1"/>
    <col min="28" max="28" width="11.109375" customWidth="1"/>
  </cols>
  <sheetData>
    <row r="2" spans="1:28" ht="20.399999999999999" x14ac:dyDescent="0.25">
      <c r="A2" s="28" t="s">
        <v>28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28" ht="24.6" customHeight="1" x14ac:dyDescent="0.25">
      <c r="A3" s="27"/>
      <c r="B3" s="27"/>
      <c r="C3" s="27"/>
      <c r="D3" s="27"/>
      <c r="E3" s="25">
        <v>1</v>
      </c>
      <c r="F3" s="26"/>
      <c r="G3" s="25">
        <v>0.9</v>
      </c>
      <c r="H3" s="26"/>
      <c r="I3" s="25">
        <v>0.8</v>
      </c>
      <c r="J3" s="26"/>
      <c r="K3" s="25">
        <v>0.7</v>
      </c>
      <c r="L3" s="26"/>
      <c r="M3" s="25">
        <v>0.65</v>
      </c>
      <c r="N3" s="26"/>
      <c r="O3" s="25">
        <v>0.6</v>
      </c>
      <c r="P3" s="26"/>
      <c r="Q3" s="25">
        <v>0.5</v>
      </c>
      <c r="R3" s="26"/>
      <c r="S3" s="25">
        <v>0.4</v>
      </c>
      <c r="T3" s="26"/>
      <c r="U3" s="25">
        <v>0.3</v>
      </c>
      <c r="V3" s="26"/>
      <c r="W3" s="25">
        <v>0.25</v>
      </c>
      <c r="X3" s="26"/>
      <c r="Y3" s="25">
        <v>0.2</v>
      </c>
      <c r="Z3" s="26"/>
      <c r="AA3" s="25">
        <v>0.15</v>
      </c>
      <c r="AB3" s="26"/>
    </row>
    <row r="4" spans="1:28" ht="37.200000000000003" customHeight="1" x14ac:dyDescent="0.25">
      <c r="A4" s="6" t="s">
        <v>22</v>
      </c>
      <c r="B4" s="6" t="s">
        <v>23</v>
      </c>
      <c r="C4" s="6" t="s">
        <v>24</v>
      </c>
      <c r="D4" s="6" t="s">
        <v>20</v>
      </c>
      <c r="E4" s="7" t="s">
        <v>26</v>
      </c>
      <c r="F4" s="7" t="s">
        <v>25</v>
      </c>
      <c r="G4" s="7" t="s">
        <v>10</v>
      </c>
      <c r="H4" s="7" t="s">
        <v>16</v>
      </c>
      <c r="I4" s="7" t="s">
        <v>10</v>
      </c>
      <c r="J4" s="7" t="s">
        <v>16</v>
      </c>
      <c r="K4" s="7" t="s">
        <v>10</v>
      </c>
      <c r="L4" s="7" t="s">
        <v>16</v>
      </c>
      <c r="M4" s="7" t="s">
        <v>10</v>
      </c>
      <c r="N4" s="7" t="s">
        <v>16</v>
      </c>
      <c r="O4" s="7" t="s">
        <v>10</v>
      </c>
      <c r="P4" s="7" t="s">
        <v>16</v>
      </c>
      <c r="Q4" s="7" t="s">
        <v>10</v>
      </c>
      <c r="R4" s="7" t="s">
        <v>16</v>
      </c>
      <c r="S4" s="7" t="s">
        <v>10</v>
      </c>
      <c r="T4" s="7" t="s">
        <v>16</v>
      </c>
      <c r="U4" s="7" t="s">
        <v>10</v>
      </c>
      <c r="V4" s="7" t="s">
        <v>16</v>
      </c>
      <c r="W4" s="7" t="s">
        <v>10</v>
      </c>
      <c r="X4" s="7" t="s">
        <v>16</v>
      </c>
      <c r="Y4" s="7" t="s">
        <v>10</v>
      </c>
      <c r="Z4" s="7" t="s">
        <v>16</v>
      </c>
      <c r="AA4" s="7" t="s">
        <v>10</v>
      </c>
      <c r="AB4" s="7" t="s">
        <v>16</v>
      </c>
    </row>
    <row r="5" spans="1:28" x14ac:dyDescent="0.25">
      <c r="A5" s="17" t="s">
        <v>18</v>
      </c>
      <c r="B5" s="4">
        <f>B6+5</f>
        <v>112.5</v>
      </c>
      <c r="C5" s="5">
        <f>(Table1342[[#This Row],[Average Ambient'[F']]]-32)/1.8</f>
        <v>44.722222222222221</v>
      </c>
      <c r="D5" s="17">
        <v>1</v>
      </c>
      <c r="E5" s="16">
        <f>'YVAM chiller load reference'!D3</f>
        <v>289.39999999999998</v>
      </c>
      <c r="F5" s="11">
        <f>E5*Table1342[[#This Row],[Total Operating Hours]]</f>
        <v>289.39999999999998</v>
      </c>
      <c r="G5" s="11">
        <f>'YVAM chiller load reference'!L3</f>
        <v>259.10000000000002</v>
      </c>
      <c r="H5" s="11">
        <f>G5*Table1342[[#This Row],[Total Operating Hours]]</f>
        <v>259.10000000000002</v>
      </c>
      <c r="I5" s="11">
        <f>'YVAM chiller load reference'!S3</f>
        <v>230.1</v>
      </c>
      <c r="J5" s="11">
        <f>I5*Table1342[[#This Row],[Total Operating Hours]]</f>
        <v>230.1</v>
      </c>
      <c r="K5" s="11">
        <f>'YVAM chiller load reference'!Z3</f>
        <v>202.9</v>
      </c>
      <c r="L5" s="11">
        <f>K5*Table1342[[#This Row],[Total Operating Hours]]</f>
        <v>202.9</v>
      </c>
      <c r="M5" s="11">
        <f>'YVAM chiller load reference'!BD3</f>
        <v>203.5</v>
      </c>
      <c r="N5" s="11">
        <f>M5*Table1342[[#This Row],[Total Operating Hours]]</f>
        <v>203.5</v>
      </c>
      <c r="O5" s="11">
        <f>'YVAM chiller load reference'!AG3</f>
        <v>177</v>
      </c>
      <c r="P5" s="11">
        <f>O5*Table1342[[#This Row],[Total Operating Hours]]</f>
        <v>177</v>
      </c>
      <c r="Q5" s="11">
        <f>'YVAM chiller load reference'!AN3</f>
        <v>153</v>
      </c>
      <c r="R5" s="11">
        <f>Q5*Table1342[[#This Row],[Total Operating Hours]]</f>
        <v>153</v>
      </c>
      <c r="S5" s="11">
        <f>'YVAM chiller load reference'!AU3</f>
        <v>132</v>
      </c>
      <c r="T5" s="11">
        <f>S5*Table1342[[#This Row],[Total Operating Hours]]</f>
        <v>132</v>
      </c>
      <c r="U5" s="11">
        <f>'YVAM chiller load reference'!BB3</f>
        <v>117.9</v>
      </c>
      <c r="V5" s="11">
        <f>U5*Table1342[[#This Row],[Total Operating Hours]]</f>
        <v>117.9</v>
      </c>
      <c r="W5" s="11">
        <f>'YVAM chiller load reference'!DH3</f>
        <v>0</v>
      </c>
      <c r="X5" s="11">
        <f>W5*Table1342[[#This Row],[Total Operating Hours]]</f>
        <v>0</v>
      </c>
      <c r="Y5" s="11">
        <f>'YVAM chiller load reference'!BI3</f>
        <v>114</v>
      </c>
      <c r="Z5" s="11">
        <f>Y5*Table1342[[#This Row],[Total Operating Hours]]</f>
        <v>114</v>
      </c>
      <c r="AA5" s="11">
        <f>'YVAM chiller load reference'!BP3</f>
        <v>111.7</v>
      </c>
      <c r="AB5" s="11">
        <f>AA5*Table1342[[#This Row],[Total Operating Hours]]</f>
        <v>111.7</v>
      </c>
    </row>
    <row r="6" spans="1:28" x14ac:dyDescent="0.25">
      <c r="A6" s="17" t="s">
        <v>17</v>
      </c>
      <c r="B6" s="4">
        <f>B7+5</f>
        <v>107.5</v>
      </c>
      <c r="C6" s="5">
        <f>(Table1342[[#This Row],[Average Ambient'[F']]]-32)/1.8</f>
        <v>41.944444444444443</v>
      </c>
      <c r="D6" s="17">
        <v>24</v>
      </c>
      <c r="E6" s="16">
        <f>'YVAM chiller load reference'!D4</f>
        <v>256.89999999999998</v>
      </c>
      <c r="F6" s="16">
        <f>E6*Table1342[[#This Row],[Total Operating Hours]]</f>
        <v>6165.5999999999995</v>
      </c>
      <c r="G6" s="11">
        <f>'YVAM chiller load reference'!L4</f>
        <v>226.8</v>
      </c>
      <c r="H6" s="16">
        <f>G6*Table1342[[#This Row],[Total Operating Hours]]</f>
        <v>5443.2000000000007</v>
      </c>
      <c r="I6" s="11">
        <f>'YVAM chiller load reference'!S4</f>
        <v>200.8</v>
      </c>
      <c r="J6" s="16">
        <f>I6*Table1342[[#This Row],[Total Operating Hours]]</f>
        <v>4819.2000000000007</v>
      </c>
      <c r="K6" s="11">
        <f>'YVAM chiller load reference'!Z4</f>
        <v>176.5</v>
      </c>
      <c r="L6" s="16">
        <f>K6*Table1342[[#This Row],[Total Operating Hours]]</f>
        <v>4236</v>
      </c>
      <c r="M6" s="16">
        <f>'YVAM chiller load reference'!BD4</f>
        <v>185.5</v>
      </c>
      <c r="N6" s="16">
        <f>M6*Table1342[[#This Row],[Total Operating Hours]]</f>
        <v>4452</v>
      </c>
      <c r="O6" s="11">
        <f>'YVAM chiller load reference'!AG4</f>
        <v>153.80000000000001</v>
      </c>
      <c r="P6" s="16">
        <f>O6*Table1342[[#This Row],[Total Operating Hours]]</f>
        <v>3691.2000000000003</v>
      </c>
      <c r="Q6" s="11">
        <f>'YVAM chiller load reference'!AN4</f>
        <v>133.30000000000001</v>
      </c>
      <c r="R6" s="16">
        <f>Q6*Table1342[[#This Row],[Total Operating Hours]]</f>
        <v>3199.2000000000003</v>
      </c>
      <c r="S6" s="11">
        <f>'YVAM chiller load reference'!AU4</f>
        <v>114.2</v>
      </c>
      <c r="T6" s="16">
        <f>S6*Table1342[[#This Row],[Total Operating Hours]]</f>
        <v>2740.8</v>
      </c>
      <c r="U6" s="11">
        <f>'YVAM chiller load reference'!BB4</f>
        <v>98.73</v>
      </c>
      <c r="V6" s="16">
        <f>U6*Table1342[[#This Row],[Total Operating Hours]]</f>
        <v>2369.52</v>
      </c>
      <c r="W6" s="16">
        <f>'YVAM chiller load reference'!DH4</f>
        <v>0</v>
      </c>
      <c r="X6" s="16">
        <f>W6*Table1342[[#This Row],[Total Operating Hours]]</f>
        <v>0</v>
      </c>
      <c r="Y6" s="11">
        <f>'YVAM chiller load reference'!BI4</f>
        <v>93.41</v>
      </c>
      <c r="Z6" s="16">
        <f>Y6*Table1342[[#This Row],[Total Operating Hours]]</f>
        <v>2241.84</v>
      </c>
      <c r="AA6" s="11">
        <f>'YVAM chiller load reference'!BP4</f>
        <v>95.76</v>
      </c>
      <c r="AB6" s="16">
        <f>AA6*Table1342[[#This Row],[Total Operating Hours]]</f>
        <v>2298.2400000000002</v>
      </c>
    </row>
    <row r="7" spans="1:28" x14ac:dyDescent="0.25">
      <c r="A7" s="17" t="s">
        <v>19</v>
      </c>
      <c r="B7" s="4">
        <f>B8+5</f>
        <v>102.5</v>
      </c>
      <c r="C7" s="5">
        <f>(Table1342[[#This Row],[Average Ambient'[F']]]-32)/1.8</f>
        <v>39.166666666666664</v>
      </c>
      <c r="D7" s="17">
        <v>118</v>
      </c>
      <c r="E7" s="16">
        <f>'YVAM chiller load reference'!D5</f>
        <v>226.4</v>
      </c>
      <c r="F7" s="16">
        <f>E7*Table1342[[#This Row],[Total Operating Hours]]</f>
        <v>26715.200000000001</v>
      </c>
      <c r="G7" s="11">
        <f>'YVAM chiller load reference'!L5</f>
        <v>200.4</v>
      </c>
      <c r="H7" s="11">
        <f>G7*Table1342[[#This Row],[Total Operating Hours]]</f>
        <v>23647.200000000001</v>
      </c>
      <c r="I7" s="11">
        <f>'YVAM chiller load reference'!S5</f>
        <v>175.8</v>
      </c>
      <c r="J7" s="11">
        <f>I7*Table1342[[#This Row],[Total Operating Hours]]</f>
        <v>20744.400000000001</v>
      </c>
      <c r="K7" s="11">
        <f>'YVAM chiller load reference'!Z5</f>
        <v>153.19999999999999</v>
      </c>
      <c r="L7" s="11">
        <f>K7*Table1342[[#This Row],[Total Operating Hours]]</f>
        <v>18077.599999999999</v>
      </c>
      <c r="M7" s="11">
        <f>'YVAM chiller load reference'!BD5</f>
        <v>165.5</v>
      </c>
      <c r="N7" s="11">
        <f>M7*Table1342[[#This Row],[Total Operating Hours]]</f>
        <v>19529</v>
      </c>
      <c r="O7" s="11">
        <f>'YVAM chiller load reference'!AG5</f>
        <v>132.4</v>
      </c>
      <c r="P7" s="11">
        <f>O7*Table1342[[#This Row],[Total Operating Hours]]</f>
        <v>15623.2</v>
      </c>
      <c r="Q7" s="11">
        <f>'YVAM chiller load reference'!AN5</f>
        <v>113.6</v>
      </c>
      <c r="R7" s="11">
        <f>Q7*Table1342[[#This Row],[Total Operating Hours]]</f>
        <v>13404.8</v>
      </c>
      <c r="S7" s="11">
        <f>'YVAM chiller load reference'!AU5</f>
        <v>97.23</v>
      </c>
      <c r="T7" s="11">
        <f>S7*Table1342[[#This Row],[Total Operating Hours]]</f>
        <v>11473.140000000001</v>
      </c>
      <c r="U7" s="11">
        <f>'YVAM chiller load reference'!BB5</f>
        <v>83.01</v>
      </c>
      <c r="V7" s="11">
        <f>U7*Table1342[[#This Row],[Total Operating Hours]]</f>
        <v>9795.18</v>
      </c>
      <c r="W7" s="11">
        <f>'YVAM chiller load reference'!DH5</f>
        <v>0</v>
      </c>
      <c r="X7" s="11">
        <f>W7*Table1342[[#This Row],[Total Operating Hours]]</f>
        <v>0</v>
      </c>
      <c r="Y7" s="11">
        <f>'YVAM chiller load reference'!BI5</f>
        <v>76.03</v>
      </c>
      <c r="Z7" s="11">
        <f>Y7*Table1342[[#This Row],[Total Operating Hours]]</f>
        <v>8971.5400000000009</v>
      </c>
      <c r="AA7" s="11">
        <f>'YVAM chiller load reference'!BP5</f>
        <v>76.900000000000006</v>
      </c>
      <c r="AB7" s="11">
        <f>AA7*Table1342[[#This Row],[Total Operating Hours]]</f>
        <v>9074.2000000000007</v>
      </c>
    </row>
    <row r="8" spans="1:28" x14ac:dyDescent="0.25">
      <c r="A8" s="17" t="s">
        <v>0</v>
      </c>
      <c r="B8" s="4">
        <v>97.5</v>
      </c>
      <c r="C8" s="5">
        <f>(Table1342[[#This Row],[Average Ambient'[F']]]-32)/1.8</f>
        <v>36.388888888888886</v>
      </c>
      <c r="D8" s="17">
        <v>283</v>
      </c>
      <c r="E8" s="16">
        <f>'YVAM chiller load reference'!D6</f>
        <v>199.4</v>
      </c>
      <c r="F8" s="16">
        <f>E8*Table1342[[#This Row],[Total Operating Hours]]</f>
        <v>56430.200000000004</v>
      </c>
      <c r="G8" s="11">
        <f>'YVAM chiller load reference'!L6</f>
        <v>175.1</v>
      </c>
      <c r="H8" s="16">
        <f>G8*Table1342[[#This Row],[Total Operating Hours]]</f>
        <v>49553.299999999996</v>
      </c>
      <c r="I8" s="11">
        <f>'YVAM chiller load reference'!S6</f>
        <v>152.69999999999999</v>
      </c>
      <c r="J8" s="16">
        <f>I8*Table1342[[#This Row],[Total Operating Hours]]</f>
        <v>43214.1</v>
      </c>
      <c r="K8" s="11">
        <f>'YVAM chiller load reference'!Z6</f>
        <v>132</v>
      </c>
      <c r="L8" s="16">
        <f>K8*Table1342[[#This Row],[Total Operating Hours]]</f>
        <v>37356</v>
      </c>
      <c r="M8" s="16">
        <f>'YVAM chiller load reference'!BD6</f>
        <v>145.5</v>
      </c>
      <c r="N8" s="16">
        <f>M8*Table1342[[#This Row],[Total Operating Hours]]</f>
        <v>41176.5</v>
      </c>
      <c r="O8" s="11">
        <f>'YVAM chiller load reference'!AG6</f>
        <v>113.4</v>
      </c>
      <c r="P8" s="16">
        <f>O8*Table1342[[#This Row],[Total Operating Hours]]</f>
        <v>32092.2</v>
      </c>
      <c r="Q8" s="11">
        <f>'YVAM chiller load reference'!AN6</f>
        <v>96.31</v>
      </c>
      <c r="R8" s="16">
        <f>Q8*Table1342[[#This Row],[Total Operating Hours]]</f>
        <v>27255.73</v>
      </c>
      <c r="S8" s="11">
        <f>'YVAM chiller load reference'!AU6</f>
        <v>80.62</v>
      </c>
      <c r="T8" s="16">
        <f>S8*Table1342[[#This Row],[Total Operating Hours]]</f>
        <v>22815.460000000003</v>
      </c>
      <c r="U8" s="11">
        <f>'YVAM chiller load reference'!BB6</f>
        <v>67.650000000000006</v>
      </c>
      <c r="V8" s="16">
        <f>U8*Table1342[[#This Row],[Total Operating Hours]]</f>
        <v>19144.95</v>
      </c>
      <c r="W8" s="16">
        <f>'YVAM chiller load reference'!DH6</f>
        <v>0</v>
      </c>
      <c r="X8" s="16">
        <f>W8*Table1342[[#This Row],[Total Operating Hours]]</f>
        <v>0</v>
      </c>
      <c r="Y8" s="11">
        <f>'YVAM chiller load reference'!BI6</f>
        <v>58.84</v>
      </c>
      <c r="Z8" s="16">
        <f>Y8*Table1342[[#This Row],[Total Operating Hours]]</f>
        <v>16651.72</v>
      </c>
      <c r="AA8" s="11">
        <f>'YVAM chiller load reference'!BP6</f>
        <v>60.63</v>
      </c>
      <c r="AB8" s="16">
        <f>AA8*Table1342[[#This Row],[Total Operating Hours]]</f>
        <v>17158.29</v>
      </c>
    </row>
    <row r="9" spans="1:28" x14ac:dyDescent="0.25">
      <c r="A9" s="17" t="s">
        <v>2</v>
      </c>
      <c r="B9" s="4">
        <f>B8-5</f>
        <v>92.5</v>
      </c>
      <c r="C9" s="5">
        <f>(Table1342[[#This Row],[Average Ambient'[F']]]-32)/1.8</f>
        <v>33.611111111111107</v>
      </c>
      <c r="D9" s="17">
        <v>320</v>
      </c>
      <c r="E9" s="16">
        <f>'YVAM chiller load reference'!D7</f>
        <v>182.9</v>
      </c>
      <c r="F9" s="16">
        <f>E9*Table1342[[#This Row],[Total Operating Hours]]</f>
        <v>58528</v>
      </c>
      <c r="G9" s="11">
        <f>'YVAM chiller load reference'!L7</f>
        <v>159.9</v>
      </c>
      <c r="H9" s="11">
        <f>G9*Table1342[[#This Row],[Total Operating Hours]]</f>
        <v>51168</v>
      </c>
      <c r="I9" s="11">
        <f>'YVAM chiller load reference'!S7</f>
        <v>138.80000000000001</v>
      </c>
      <c r="J9" s="11">
        <f>I9*Table1342[[#This Row],[Total Operating Hours]]</f>
        <v>44416</v>
      </c>
      <c r="K9" s="11">
        <f>'YVAM chiller load reference'!Z7</f>
        <v>119.3</v>
      </c>
      <c r="L9" s="11">
        <f>K9*Table1342[[#This Row],[Total Operating Hours]]</f>
        <v>38176</v>
      </c>
      <c r="M9" s="11">
        <f>'YVAM chiller load reference'!BD7</f>
        <v>135.5</v>
      </c>
      <c r="N9" s="11">
        <f>M9*Table1342[[#This Row],[Total Operating Hours]]</f>
        <v>43360</v>
      </c>
      <c r="O9" s="11">
        <f>'YVAM chiller load reference'!AG7</f>
        <v>101.7</v>
      </c>
      <c r="P9" s="11">
        <f>O9*Table1342[[#This Row],[Total Operating Hours]]</f>
        <v>32544</v>
      </c>
      <c r="Q9" s="11">
        <f>'YVAM chiller load reference'!AN7</f>
        <v>85.43</v>
      </c>
      <c r="R9" s="11">
        <f>Q9*Table1342[[#This Row],[Total Operating Hours]]</f>
        <v>27337.600000000002</v>
      </c>
      <c r="S9" s="11">
        <f>'YVAM chiller load reference'!AU7</f>
        <v>70.19</v>
      </c>
      <c r="T9" s="11">
        <f>S9*Table1342[[#This Row],[Total Operating Hours]]</f>
        <v>22460.799999999999</v>
      </c>
      <c r="U9" s="11">
        <f>'YVAM chiller load reference'!BB7</f>
        <v>57.46</v>
      </c>
      <c r="V9" s="11">
        <f>U9*Table1342[[#This Row],[Total Operating Hours]]</f>
        <v>18387.2</v>
      </c>
      <c r="W9" s="11">
        <f>'YVAM chiller load reference'!DH7</f>
        <v>0</v>
      </c>
      <c r="X9" s="11">
        <f>W9*Table1342[[#This Row],[Total Operating Hours]]</f>
        <v>0</v>
      </c>
      <c r="Y9" s="11">
        <f>'YVAM chiller load reference'!BI7</f>
        <v>48.49</v>
      </c>
      <c r="Z9" s="11">
        <f>Y9*Table1342[[#This Row],[Total Operating Hours]]</f>
        <v>15516.800000000001</v>
      </c>
      <c r="AA9" s="11">
        <f>'YVAM chiller load reference'!BP7</f>
        <v>47.09</v>
      </c>
      <c r="AB9" s="11">
        <f>AA9*Table1342[[#This Row],[Total Operating Hours]]</f>
        <v>15068.800000000001</v>
      </c>
    </row>
    <row r="10" spans="1:28" x14ac:dyDescent="0.25">
      <c r="A10" s="17" t="s">
        <v>6</v>
      </c>
      <c r="B10" s="4">
        <f t="shared" ref="B10:B27" si="0">B9-5</f>
        <v>87.5</v>
      </c>
      <c r="C10" s="5">
        <f>(Table1342[[#This Row],[Average Ambient'[F']]]-32)/1.8</f>
        <v>30.833333333333332</v>
      </c>
      <c r="D10" s="17">
        <v>652</v>
      </c>
      <c r="E10" s="16">
        <f>'YVAM chiller load reference'!D8</f>
        <v>159.9</v>
      </c>
      <c r="F10" s="16">
        <f>E10*Table1342[[#This Row],[Total Operating Hours]]</f>
        <v>104254.8</v>
      </c>
      <c r="G10" s="11">
        <f>'YVAM chiller load reference'!L8</f>
        <v>138.80000000000001</v>
      </c>
      <c r="H10" s="16">
        <f>G10*Table1342[[#This Row],[Total Operating Hours]]</f>
        <v>90497.600000000006</v>
      </c>
      <c r="I10" s="11">
        <f>'YVAM chiller load reference'!S8</f>
        <v>119.6</v>
      </c>
      <c r="J10" s="16">
        <f>I10*Table1342[[#This Row],[Total Operating Hours]]</f>
        <v>77979.199999999997</v>
      </c>
      <c r="K10" s="11">
        <f>'YVAM chiller load reference'!Z8</f>
        <v>101.7</v>
      </c>
      <c r="L10" s="16">
        <f>K10*Table1342[[#This Row],[Total Operating Hours]]</f>
        <v>66308.400000000009</v>
      </c>
      <c r="M10" s="16">
        <f>'YVAM chiller load reference'!BD8</f>
        <v>124.5</v>
      </c>
      <c r="N10" s="16">
        <f>M10*Table1342[[#This Row],[Total Operating Hours]]</f>
        <v>81174</v>
      </c>
      <c r="O10" s="11">
        <f>'YVAM chiller load reference'!AG8</f>
        <v>85.76</v>
      </c>
      <c r="P10" s="16">
        <f>O10*Table1342[[#This Row],[Total Operating Hours]]</f>
        <v>55915.520000000004</v>
      </c>
      <c r="Q10" s="11">
        <f>'YVAM chiller load reference'!AN8</f>
        <v>71.459999999999994</v>
      </c>
      <c r="R10" s="16">
        <f>Q10*Table1342[[#This Row],[Total Operating Hours]]</f>
        <v>46591.92</v>
      </c>
      <c r="S10" s="11">
        <f>'YVAM chiller load reference'!AU8</f>
        <v>58.39</v>
      </c>
      <c r="T10" s="16">
        <f>S10*Table1342[[#This Row],[Total Operating Hours]]</f>
        <v>38070.28</v>
      </c>
      <c r="U10" s="11">
        <f>'YVAM chiller load reference'!BB8</f>
        <v>47.15</v>
      </c>
      <c r="V10" s="16">
        <f>U10*Table1342[[#This Row],[Total Operating Hours]]</f>
        <v>30741.8</v>
      </c>
      <c r="W10" s="16">
        <f>'YVAM chiller load reference'!DH8</f>
        <v>0</v>
      </c>
      <c r="X10" s="16">
        <f>W10*Table1342[[#This Row],[Total Operating Hours]]</f>
        <v>0</v>
      </c>
      <c r="Y10" s="11">
        <f>'YVAM chiller load reference'!BI8</f>
        <v>37.56</v>
      </c>
      <c r="Z10" s="16">
        <f>Y10*Table1342[[#This Row],[Total Operating Hours]]</f>
        <v>24489.120000000003</v>
      </c>
      <c r="AA10" s="11">
        <f>'YVAM chiller load reference'!BP8</f>
        <v>33.869999999999997</v>
      </c>
      <c r="AB10" s="16">
        <f>AA10*Table1342[[#This Row],[Total Operating Hours]]</f>
        <v>22083.239999999998</v>
      </c>
    </row>
    <row r="11" spans="1:28" x14ac:dyDescent="0.25">
      <c r="A11" s="17" t="s">
        <v>1</v>
      </c>
      <c r="B11" s="4">
        <f t="shared" si="0"/>
        <v>82.5</v>
      </c>
      <c r="C11" s="5">
        <f>(Table1342[[#This Row],[Average Ambient'[F']]]-32)/1.8</f>
        <v>28.055555555555554</v>
      </c>
      <c r="D11" s="17">
        <v>802</v>
      </c>
      <c r="E11" s="16">
        <f>'YVAM chiller load reference'!D9</f>
        <v>138.69999999999999</v>
      </c>
      <c r="F11" s="16">
        <f>E11*Table1342[[#This Row],[Total Operating Hours]]</f>
        <v>111237.4</v>
      </c>
      <c r="G11" s="11">
        <f>'YVAM chiller load reference'!L9</f>
        <v>119.3</v>
      </c>
      <c r="H11" s="11">
        <f>G11*Table1342[[#This Row],[Total Operating Hours]]</f>
        <v>95678.599999999991</v>
      </c>
      <c r="I11" s="11">
        <f>'YVAM chiller load reference'!S9</f>
        <v>102</v>
      </c>
      <c r="J11" s="11">
        <f>I11*Table1342[[#This Row],[Total Operating Hours]]</f>
        <v>81804</v>
      </c>
      <c r="K11" s="11">
        <f>'YVAM chiller load reference'!Z9</f>
        <v>86.1</v>
      </c>
      <c r="L11" s="11">
        <f>K11*Table1342[[#This Row],[Total Operating Hours]]</f>
        <v>69052.2</v>
      </c>
      <c r="M11" s="11">
        <f>'YVAM chiller load reference'!BD9</f>
        <v>111.5</v>
      </c>
      <c r="N11" s="11">
        <f>M11*Table1342[[#This Row],[Total Operating Hours]]</f>
        <v>89423</v>
      </c>
      <c r="O11" s="11">
        <f>'YVAM chiller load reference'!AG9</f>
        <v>71.63</v>
      </c>
      <c r="P11" s="11">
        <f>O11*Table1342[[#This Row],[Total Operating Hours]]</f>
        <v>57447.259999999995</v>
      </c>
      <c r="Q11" s="11">
        <f>'YVAM chiller load reference'!AN9</f>
        <v>59.02</v>
      </c>
      <c r="R11" s="11">
        <f>Q11*Table1342[[#This Row],[Total Operating Hours]]</f>
        <v>47334.04</v>
      </c>
      <c r="S11" s="11">
        <f>'YVAM chiller load reference'!AU9</f>
        <v>47.59</v>
      </c>
      <c r="T11" s="11">
        <f>S11*Table1342[[#This Row],[Total Operating Hours]]</f>
        <v>38167.18</v>
      </c>
      <c r="U11" s="11">
        <f>'YVAM chiller load reference'!BB9</f>
        <v>37.39</v>
      </c>
      <c r="V11" s="11">
        <f>U11*Table1342[[#This Row],[Total Operating Hours]]</f>
        <v>29986.78</v>
      </c>
      <c r="W11" s="11">
        <f>'YVAM chiller load reference'!DH9</f>
        <v>0</v>
      </c>
      <c r="X11" s="11">
        <f>W11*Table1342[[#This Row],[Total Operating Hours]]</f>
        <v>0</v>
      </c>
      <c r="Y11" s="11">
        <f>'YVAM chiller load reference'!BI9</f>
        <v>28.52</v>
      </c>
      <c r="Z11" s="11">
        <f>Y11*Table1342[[#This Row],[Total Operating Hours]]</f>
        <v>22873.040000000001</v>
      </c>
      <c r="AA11" s="11">
        <f>'YVAM chiller load reference'!BP9</f>
        <v>24.84</v>
      </c>
      <c r="AB11" s="11">
        <f>AA11*Table1342[[#This Row],[Total Operating Hours]]</f>
        <v>19921.68</v>
      </c>
    </row>
    <row r="12" spans="1:28" x14ac:dyDescent="0.25">
      <c r="A12" s="17" t="s">
        <v>5</v>
      </c>
      <c r="B12" s="4">
        <f t="shared" si="0"/>
        <v>77.5</v>
      </c>
      <c r="C12" s="5">
        <f>(Table1342[[#This Row],[Average Ambient'[F']]]-32)/1.8</f>
        <v>25.277777777777779</v>
      </c>
      <c r="D12" s="17">
        <v>977</v>
      </c>
      <c r="E12" s="16">
        <f>'YVAM chiller load reference'!D10</f>
        <v>119</v>
      </c>
      <c r="F12" s="16">
        <f>E12*Table1342[[#This Row],[Total Operating Hours]]</f>
        <v>116263</v>
      </c>
      <c r="G12" s="11">
        <f>'YVAM chiller load reference'!L10</f>
        <v>101.6</v>
      </c>
      <c r="H12" s="16">
        <f>G12*Table1342[[#This Row],[Total Operating Hours]]</f>
        <v>99263.2</v>
      </c>
      <c r="I12" s="11">
        <f>'YVAM chiller load reference'!S10</f>
        <v>85.89</v>
      </c>
      <c r="J12" s="16">
        <f>I12*Table1342[[#This Row],[Total Operating Hours]]</f>
        <v>83914.53</v>
      </c>
      <c r="K12" s="11">
        <f>'YVAM chiller load reference'!Z10</f>
        <v>71.7</v>
      </c>
      <c r="L12" s="16">
        <f>K12*Table1342[[#This Row],[Total Operating Hours]]</f>
        <v>70050.900000000009</v>
      </c>
      <c r="M12" s="16">
        <f>'YVAM chiller load reference'!BD10</f>
        <v>100.5</v>
      </c>
      <c r="N12" s="16">
        <f>M12*Table1342[[#This Row],[Total Operating Hours]]</f>
        <v>98188.5</v>
      </c>
      <c r="O12" s="11">
        <f>'YVAM chiller load reference'!AG10</f>
        <v>58.88</v>
      </c>
      <c r="P12" s="16">
        <f>O12*Table1342[[#This Row],[Total Operating Hours]]</f>
        <v>57525.760000000002</v>
      </c>
      <c r="Q12" s="11">
        <f>'YVAM chiller load reference'!AN10</f>
        <v>47.63</v>
      </c>
      <c r="R12" s="16">
        <f>Q12*Table1342[[#This Row],[Total Operating Hours]]</f>
        <v>46534.51</v>
      </c>
      <c r="S12" s="11">
        <f>'YVAM chiller load reference'!AU10</f>
        <v>37.57</v>
      </c>
      <c r="T12" s="16">
        <f>S12*Table1342[[#This Row],[Total Operating Hours]]</f>
        <v>36705.89</v>
      </c>
      <c r="U12" s="11">
        <f>'YVAM chiller load reference'!BB10</f>
        <v>28.9</v>
      </c>
      <c r="V12" s="16">
        <f>U12*Table1342[[#This Row],[Total Operating Hours]]</f>
        <v>28235.3</v>
      </c>
      <c r="W12" s="16">
        <f>'YVAM chiller load reference'!DH10</f>
        <v>0</v>
      </c>
      <c r="X12" s="16">
        <f>W12*Table1342[[#This Row],[Total Operating Hours]]</f>
        <v>0</v>
      </c>
      <c r="Y12" s="11">
        <f>'YVAM chiller load reference'!BI10</f>
        <v>21.11</v>
      </c>
      <c r="Z12" s="16">
        <f>Y12*Table1342[[#This Row],[Total Operating Hours]]</f>
        <v>20624.47</v>
      </c>
      <c r="AA12" s="11">
        <f>'YVAM chiller load reference'!BP10</f>
        <v>17.739999999999998</v>
      </c>
      <c r="AB12" s="16">
        <f>AA12*Table1342[[#This Row],[Total Operating Hours]]</f>
        <v>17331.98</v>
      </c>
    </row>
    <row r="13" spans="1:28" x14ac:dyDescent="0.25">
      <c r="A13" s="17" t="s">
        <v>9</v>
      </c>
      <c r="B13" s="4">
        <f t="shared" si="0"/>
        <v>72.5</v>
      </c>
      <c r="C13" s="5">
        <f>(Table1342[[#This Row],[Average Ambient'[F']]]-32)/1.8</f>
        <v>22.5</v>
      </c>
      <c r="D13" s="17">
        <v>606</v>
      </c>
      <c r="E13" s="16">
        <f>'YVAM chiller load reference'!D11</f>
        <v>106.7</v>
      </c>
      <c r="F13" s="16">
        <f>E13*Table1342[[#This Row],[Total Operating Hours]]</f>
        <v>64660.200000000004</v>
      </c>
      <c r="G13" s="11">
        <f>'YVAM chiller load reference'!L11</f>
        <v>90.23</v>
      </c>
      <c r="H13" s="11">
        <f>G13*Table1342[[#This Row],[Total Operating Hours]]</f>
        <v>54679.380000000005</v>
      </c>
      <c r="I13" s="11">
        <f>'YVAM chiller load reference'!S11</f>
        <v>75.89</v>
      </c>
      <c r="J13" s="11">
        <f>I13*Table1342[[#This Row],[Total Operating Hours]]</f>
        <v>45989.340000000004</v>
      </c>
      <c r="K13" s="11">
        <f>'YVAM chiller load reference'!Z11</f>
        <v>62.73</v>
      </c>
      <c r="L13" s="11">
        <f>K13*Table1342[[#This Row],[Total Operating Hours]]</f>
        <v>38014.379999999997</v>
      </c>
      <c r="M13" s="11">
        <f>'YVAM chiller load reference'!BD11</f>
        <v>95.5</v>
      </c>
      <c r="N13" s="11">
        <f>M13*Table1342[[#This Row],[Total Operating Hours]]</f>
        <v>57873</v>
      </c>
      <c r="O13" s="11">
        <f>'YVAM chiller load reference'!AG11</f>
        <v>50.93</v>
      </c>
      <c r="P13" s="11">
        <f>O13*Table1342[[#This Row],[Total Operating Hours]]</f>
        <v>30863.579999999998</v>
      </c>
      <c r="Q13" s="11">
        <f>'YVAM chiller load reference'!AN11</f>
        <v>40.450000000000003</v>
      </c>
      <c r="R13" s="11">
        <f>Q13*Table1342[[#This Row],[Total Operating Hours]]</f>
        <v>24512.7</v>
      </c>
      <c r="S13" s="11">
        <f>'YVAM chiller load reference'!AU11</f>
        <v>31.18</v>
      </c>
      <c r="T13" s="11">
        <f>S13*Table1342[[#This Row],[Total Operating Hours]]</f>
        <v>18895.079999999998</v>
      </c>
      <c r="U13" s="11">
        <f>'YVAM chiller load reference'!BB11</f>
        <v>23.21</v>
      </c>
      <c r="V13" s="11">
        <f>U13*Table1342[[#This Row],[Total Operating Hours]]</f>
        <v>14065.26</v>
      </c>
      <c r="W13" s="11">
        <f>'YVAM chiller load reference'!DH11</f>
        <v>0</v>
      </c>
      <c r="X13" s="11">
        <f>W13*Table1342[[#This Row],[Total Operating Hours]]</f>
        <v>0</v>
      </c>
      <c r="Y13" s="11">
        <f>'YVAM chiller load reference'!BI11</f>
        <v>17.14</v>
      </c>
      <c r="Z13" s="11">
        <f>Y13*Table1342[[#This Row],[Total Operating Hours]]</f>
        <v>10386.84</v>
      </c>
      <c r="AA13" s="11">
        <f>'YVAM chiller load reference'!BP11</f>
        <v>14.87</v>
      </c>
      <c r="AB13" s="11">
        <f>AA13*Table1342[[#This Row],[Total Operating Hours]]</f>
        <v>9011.2199999999993</v>
      </c>
    </row>
    <row r="14" spans="1:28" x14ac:dyDescent="0.25">
      <c r="A14" s="17" t="s">
        <v>4</v>
      </c>
      <c r="B14" s="4">
        <f t="shared" si="0"/>
        <v>67.5</v>
      </c>
      <c r="C14" s="5">
        <f>(Table1342[[#This Row],[Average Ambient'[F']]]-32)/1.8</f>
        <v>19.722222222222221</v>
      </c>
      <c r="D14" s="17">
        <v>901</v>
      </c>
      <c r="E14" s="16">
        <f>'YVAM chiller load reference'!D12</f>
        <v>89.2</v>
      </c>
      <c r="F14" s="16">
        <f>E14*Table1342[[#This Row],[Total Operating Hours]]</f>
        <v>80369.2</v>
      </c>
      <c r="G14" s="11">
        <f>'YVAM chiller load reference'!L12</f>
        <v>74.849999999999994</v>
      </c>
      <c r="H14" s="16">
        <f>G14*Table1342[[#This Row],[Total Operating Hours]]</f>
        <v>67439.849999999991</v>
      </c>
      <c r="I14" s="11">
        <f>'YVAM chiller load reference'!S12</f>
        <v>61.84</v>
      </c>
      <c r="J14" s="16">
        <f>I14*Table1342[[#This Row],[Total Operating Hours]]</f>
        <v>55717.840000000004</v>
      </c>
      <c r="K14" s="11">
        <f>'YVAM chiller load reference'!Z12</f>
        <v>49.83</v>
      </c>
      <c r="L14" s="16">
        <f>K14*Table1342[[#This Row],[Total Operating Hours]]</f>
        <v>44896.83</v>
      </c>
      <c r="M14" s="16">
        <f>'YVAM chiller load reference'!BD12</f>
        <v>92.5</v>
      </c>
      <c r="N14" s="16">
        <f>M14*Table1342[[#This Row],[Total Operating Hours]]</f>
        <v>83342.5</v>
      </c>
      <c r="O14" s="11">
        <f>'YVAM chiller load reference'!AG12</f>
        <v>39.450000000000003</v>
      </c>
      <c r="P14" s="16">
        <f>O14*Table1342[[#This Row],[Total Operating Hours]]</f>
        <v>35544.450000000004</v>
      </c>
      <c r="Q14" s="11">
        <f>'YVAM chiller load reference'!AN12</f>
        <v>30.34</v>
      </c>
      <c r="R14" s="16">
        <f>Q14*Table1342[[#This Row],[Total Operating Hours]]</f>
        <v>27336.34</v>
      </c>
      <c r="S14" s="11">
        <f>'YVAM chiller load reference'!AU12</f>
        <v>23.17</v>
      </c>
      <c r="T14" s="16">
        <f>S14*Table1342[[#This Row],[Total Operating Hours]]</f>
        <v>20876.170000000002</v>
      </c>
      <c r="U14" s="11">
        <f>'YVAM chiller load reference'!BB12</f>
        <v>18.559999999999999</v>
      </c>
      <c r="V14" s="16">
        <f>U14*Table1342[[#This Row],[Total Operating Hours]]</f>
        <v>16722.559999999998</v>
      </c>
      <c r="W14" s="16">
        <f>'YVAM chiller load reference'!DH12</f>
        <v>0</v>
      </c>
      <c r="X14" s="16">
        <f>W14*Table1342[[#This Row],[Total Operating Hours]]</f>
        <v>0</v>
      </c>
      <c r="Y14" s="11">
        <f>'YVAM chiller load reference'!BI12</f>
        <v>15.32</v>
      </c>
      <c r="Z14" s="16">
        <f>Y14*Table1342[[#This Row],[Total Operating Hours]]</f>
        <v>13803.32</v>
      </c>
      <c r="AA14" s="11">
        <f>'YVAM chiller load reference'!BP12</f>
        <v>13.69</v>
      </c>
      <c r="AB14" s="16">
        <f>AA14*Table1342[[#This Row],[Total Operating Hours]]</f>
        <v>12334.689999999999</v>
      </c>
    </row>
    <row r="15" spans="1:28" x14ac:dyDescent="0.25">
      <c r="A15" s="17" t="s">
        <v>8</v>
      </c>
      <c r="B15" s="4">
        <f t="shared" si="0"/>
        <v>62.5</v>
      </c>
      <c r="C15" s="5">
        <f>(Table1342[[#This Row],[Average Ambient'[F']]]-32)/1.8</f>
        <v>16.944444444444443</v>
      </c>
      <c r="D15" s="17">
        <v>750</v>
      </c>
      <c r="E15" s="16">
        <f>'YVAM chiller load reference'!D13</f>
        <v>74.069999999999993</v>
      </c>
      <c r="F15" s="16">
        <f>E15*Table1342[[#This Row],[Total Operating Hours]]</f>
        <v>55552.499999999993</v>
      </c>
      <c r="G15" s="11">
        <f>'YVAM chiller load reference'!L13</f>
        <v>60.49</v>
      </c>
      <c r="H15" s="11">
        <f>G15*Table1342[[#This Row],[Total Operating Hours]]</f>
        <v>45367.5</v>
      </c>
      <c r="I15" s="11">
        <f>'YVAM chiller load reference'!S13</f>
        <v>48.05</v>
      </c>
      <c r="J15" s="11">
        <f>I15*Table1342[[#This Row],[Total Operating Hours]]</f>
        <v>36037.5</v>
      </c>
      <c r="K15" s="11">
        <f>'YVAM chiller load reference'!Z13</f>
        <v>38.15</v>
      </c>
      <c r="L15" s="11">
        <f>K15*Table1342[[#This Row],[Total Operating Hours]]</f>
        <v>28612.5</v>
      </c>
      <c r="M15" s="11">
        <f>'YVAM chiller load reference'!BD13</f>
        <v>92.5</v>
      </c>
      <c r="N15" s="11">
        <f>M15*Table1342[[#This Row],[Total Operating Hours]]</f>
        <v>69375</v>
      </c>
      <c r="O15" s="11">
        <f>'YVAM chiller load reference'!AG13</f>
        <v>29.86</v>
      </c>
      <c r="P15" s="11">
        <f>O15*Table1342[[#This Row],[Total Operating Hours]]</f>
        <v>22395</v>
      </c>
      <c r="Q15" s="11">
        <f>'YVAM chiller load reference'!AN13</f>
        <v>23.88</v>
      </c>
      <c r="R15" s="11">
        <f>Q15*Table1342[[#This Row],[Total Operating Hours]]</f>
        <v>17910</v>
      </c>
      <c r="S15" s="11">
        <f>'YVAM chiller load reference'!AU13</f>
        <v>19.96</v>
      </c>
      <c r="T15" s="11">
        <f>S15*Table1342[[#This Row],[Total Operating Hours]]</f>
        <v>14970</v>
      </c>
      <c r="U15" s="11">
        <f>'YVAM chiller load reference'!BB13</f>
        <v>17.41</v>
      </c>
      <c r="V15" s="11">
        <f>U15*Table1342[[#This Row],[Total Operating Hours]]</f>
        <v>13057.5</v>
      </c>
      <c r="W15" s="11">
        <f>'YVAM chiller load reference'!DH13</f>
        <v>0</v>
      </c>
      <c r="X15" s="11">
        <f>W15*Table1342[[#This Row],[Total Operating Hours]]</f>
        <v>0</v>
      </c>
      <c r="Y15" s="11">
        <f>'YVAM chiller load reference'!BI13</f>
        <v>14.66</v>
      </c>
      <c r="Z15" s="11">
        <f>Y15*Table1342[[#This Row],[Total Operating Hours]]</f>
        <v>10995</v>
      </c>
      <c r="AA15" s="11">
        <f>'YVAM chiller load reference'!BP13</f>
        <v>13.44</v>
      </c>
      <c r="AB15" s="11">
        <f>AA15*Table1342[[#This Row],[Total Operating Hours]]</f>
        <v>10080</v>
      </c>
    </row>
    <row r="16" spans="1:28" x14ac:dyDescent="0.25">
      <c r="A16" s="17" t="s">
        <v>3</v>
      </c>
      <c r="B16" s="4">
        <f t="shared" si="0"/>
        <v>57.5</v>
      </c>
      <c r="C16" s="5">
        <f>(Table1342[[#This Row],[Average Ambient'[F']]]-32)/1.8</f>
        <v>14.166666666666666</v>
      </c>
      <c r="D16" s="17">
        <v>730</v>
      </c>
      <c r="E16" s="16">
        <f>'YVAM chiller load reference'!D14</f>
        <v>61.65</v>
      </c>
      <c r="F16" s="16">
        <f>E16*Table1342[[#This Row],[Total Operating Hours]]</f>
        <v>45004.5</v>
      </c>
      <c r="G16" s="11">
        <f>'YVAM chiller load reference'!L14</f>
        <v>48.81</v>
      </c>
      <c r="H16" s="16">
        <f>G16*Table1342[[#This Row],[Total Operating Hours]]</f>
        <v>35631.300000000003</v>
      </c>
      <c r="I16" s="11">
        <f>'YVAM chiller load reference'!S14</f>
        <v>38.97</v>
      </c>
      <c r="J16" s="16">
        <f>I16*Table1342[[#This Row],[Total Operating Hours]]</f>
        <v>28448.1</v>
      </c>
      <c r="K16" s="11">
        <f>'YVAM chiller load reference'!Z14</f>
        <v>31.2</v>
      </c>
      <c r="L16" s="16">
        <f>K16*Table1342[[#This Row],[Total Operating Hours]]</f>
        <v>22776</v>
      </c>
      <c r="M16" s="16">
        <f>'YVAM chiller load reference'!BD14</f>
        <v>92.5</v>
      </c>
      <c r="N16" s="16">
        <f>M16*Table1342[[#This Row],[Total Operating Hours]]</f>
        <v>67525</v>
      </c>
      <c r="O16" s="11">
        <f>'YVAM chiller load reference'!AG14</f>
        <v>24.65</v>
      </c>
      <c r="P16" s="16">
        <f>O16*Table1342[[#This Row],[Total Operating Hours]]</f>
        <v>17994.5</v>
      </c>
      <c r="Q16" s="11">
        <f>'YVAM chiller load reference'!AN14</f>
        <v>20.93</v>
      </c>
      <c r="R16" s="16">
        <f>Q16*Table1342[[#This Row],[Total Operating Hours]]</f>
        <v>15278.9</v>
      </c>
      <c r="S16" s="11">
        <f>'YVAM chiller load reference'!AU14</f>
        <v>18.690000000000001</v>
      </c>
      <c r="T16" s="16">
        <f>S16*Table1342[[#This Row],[Total Operating Hours]]</f>
        <v>13643.7</v>
      </c>
      <c r="U16" s="11">
        <f>'YVAM chiller load reference'!BB14</f>
        <v>16.940000000000001</v>
      </c>
      <c r="V16" s="16">
        <f>U16*Table1342[[#This Row],[Total Operating Hours]]</f>
        <v>12366.2</v>
      </c>
      <c r="W16" s="16">
        <f>'YVAM chiller load reference'!DH14</f>
        <v>0</v>
      </c>
      <c r="X16" s="16">
        <f>W16*Table1342[[#This Row],[Total Operating Hours]]</f>
        <v>0</v>
      </c>
      <c r="Y16" s="11">
        <f>'YVAM chiller load reference'!BI14</f>
        <v>14.45</v>
      </c>
      <c r="Z16" s="16">
        <f>Y16*Table1342[[#This Row],[Total Operating Hours]]</f>
        <v>10548.5</v>
      </c>
      <c r="AA16" s="11">
        <f>'YVAM chiller load reference'!BP14</f>
        <v>13.31</v>
      </c>
      <c r="AB16" s="16">
        <f>AA16*Table1342[[#This Row],[Total Operating Hours]]</f>
        <v>9716.3000000000011</v>
      </c>
    </row>
    <row r="17" spans="1:28" x14ac:dyDescent="0.25">
      <c r="A17" s="17" t="s">
        <v>7</v>
      </c>
      <c r="B17" s="4">
        <f t="shared" si="0"/>
        <v>52.5</v>
      </c>
      <c r="C17" s="5">
        <f>(Table1342[[#This Row],[Average Ambient'[F']]]-32)/1.8</f>
        <v>11.388888888888889</v>
      </c>
      <c r="D17" s="17">
        <v>653</v>
      </c>
      <c r="E17" s="16">
        <f>'YVAM chiller load reference'!D15</f>
        <v>53.13</v>
      </c>
      <c r="F17" s="16">
        <f>E17*Table1342[[#This Row],[Total Operating Hours]]</f>
        <v>34693.89</v>
      </c>
      <c r="G17" s="11">
        <f>'YVAM chiller load reference'!L15</f>
        <v>41.62</v>
      </c>
      <c r="H17" s="11">
        <f>G17*Table1342[[#This Row],[Total Operating Hours]]</f>
        <v>27177.859999999997</v>
      </c>
      <c r="I17" s="11">
        <f>'YVAM chiller load reference'!S15</f>
        <v>33.68</v>
      </c>
      <c r="J17" s="11">
        <f>I17*Table1342[[#This Row],[Total Operating Hours]]</f>
        <v>21993.040000000001</v>
      </c>
      <c r="K17" s="11">
        <f>'YVAM chiller load reference'!Z15</f>
        <v>27.25</v>
      </c>
      <c r="L17" s="11">
        <f>K17*Table1342[[#This Row],[Total Operating Hours]]</f>
        <v>17794.25</v>
      </c>
      <c r="M17" s="11">
        <f>'YVAM chiller load reference'!BD15</f>
        <v>91.5</v>
      </c>
      <c r="N17" s="11">
        <f>M17*Table1342[[#This Row],[Total Operating Hours]]</f>
        <v>59749.5</v>
      </c>
      <c r="O17" s="11">
        <f>'YVAM chiller load reference'!AG15</f>
        <v>22.18</v>
      </c>
      <c r="P17" s="11">
        <f>O17*Table1342[[#This Row],[Total Operating Hours]]</f>
        <v>14483.539999999999</v>
      </c>
      <c r="Q17" s="11">
        <f>'YVAM chiller load reference'!AN15</f>
        <v>19.739999999999998</v>
      </c>
      <c r="R17" s="11">
        <f>Q17*Table1342[[#This Row],[Total Operating Hours]]</f>
        <v>12890.22</v>
      </c>
      <c r="S17" s="11">
        <f>'YVAM chiller load reference'!AU15</f>
        <v>18.41</v>
      </c>
      <c r="T17" s="11">
        <f>S17*Table1342[[#This Row],[Total Operating Hours]]</f>
        <v>12021.73</v>
      </c>
      <c r="U17" s="11">
        <f>'YVAM chiller load reference'!BB15</f>
        <v>16.63</v>
      </c>
      <c r="V17" s="11">
        <f>U17*Table1342[[#This Row],[Total Operating Hours]]</f>
        <v>10859.39</v>
      </c>
      <c r="W17" s="11">
        <f>'YVAM chiller load reference'!DH15</f>
        <v>0</v>
      </c>
      <c r="X17" s="11">
        <f>W17*Table1342[[#This Row],[Total Operating Hours]]</f>
        <v>0</v>
      </c>
      <c r="Y17" s="11">
        <f>'YVAM chiller load reference'!BI15</f>
        <v>14.32</v>
      </c>
      <c r="Z17" s="11">
        <f>Y17*Table1342[[#This Row],[Total Operating Hours]]</f>
        <v>9350.9600000000009</v>
      </c>
      <c r="AA17" s="11">
        <f>'YVAM chiller load reference'!BP15</f>
        <v>13.25</v>
      </c>
      <c r="AB17" s="11">
        <f>AA17*Table1342[[#This Row],[Total Operating Hours]]</f>
        <v>8652.25</v>
      </c>
    </row>
    <row r="18" spans="1:28" x14ac:dyDescent="0.25">
      <c r="A18" s="17" t="s">
        <v>11</v>
      </c>
      <c r="B18" s="4">
        <f t="shared" si="0"/>
        <v>47.5</v>
      </c>
      <c r="C18" s="5">
        <f>(Table1342[[#This Row],[Average Ambient'[F']]]-32)/1.8</f>
        <v>8.6111111111111107</v>
      </c>
      <c r="D18" s="17">
        <v>260</v>
      </c>
      <c r="E18" s="16">
        <f>'YVAM chiller load reference'!D16</f>
        <v>49.36</v>
      </c>
      <c r="F18" s="16">
        <f>E18*Table1342[[#This Row],[Total Operating Hours]]</f>
        <v>12833.6</v>
      </c>
      <c r="G18" s="11">
        <f>'YVAM chiller load reference'!L16</f>
        <v>38.619999999999997</v>
      </c>
      <c r="H18" s="16">
        <f>G18*Table1342[[#This Row],[Total Operating Hours]]</f>
        <v>10041.199999999999</v>
      </c>
      <c r="I18" s="11">
        <f>'YVAM chiller load reference'!S16</f>
        <v>31.21</v>
      </c>
      <c r="J18" s="16">
        <f>I18*Table1342[[#This Row],[Total Operating Hours]]</f>
        <v>8114.6</v>
      </c>
      <c r="K18" s="11">
        <f>'YVAM chiller load reference'!Z16</f>
        <v>25.28</v>
      </c>
      <c r="L18" s="16">
        <f>K18*Table1342[[#This Row],[Total Operating Hours]]</f>
        <v>6572.8</v>
      </c>
      <c r="M18" s="16">
        <f>'YVAM chiller load reference'!BD16</f>
        <v>91.5</v>
      </c>
      <c r="N18" s="16">
        <f>M18*Table1342[[#This Row],[Total Operating Hours]]</f>
        <v>23790</v>
      </c>
      <c r="O18" s="11">
        <f>'YVAM chiller load reference'!AG16</f>
        <v>21.16</v>
      </c>
      <c r="P18" s="16">
        <f>O18*Table1342[[#This Row],[Total Operating Hours]]</f>
        <v>5501.6</v>
      </c>
      <c r="Q18" s="11">
        <f>'YVAM chiller load reference'!AN16</f>
        <v>19.18</v>
      </c>
      <c r="R18" s="16">
        <f>Q18*Table1342[[#This Row],[Total Operating Hours]]</f>
        <v>4986.8</v>
      </c>
      <c r="S18" s="11">
        <f>'YVAM chiller load reference'!AU16</f>
        <v>18.09</v>
      </c>
      <c r="T18" s="16">
        <f>S18*Table1342[[#This Row],[Total Operating Hours]]</f>
        <v>4703.3999999999996</v>
      </c>
      <c r="U18" s="11">
        <f>'YVAM chiller load reference'!BB16</f>
        <v>16.48</v>
      </c>
      <c r="V18" s="16">
        <f>U18*Table1342[[#This Row],[Total Operating Hours]]</f>
        <v>4284.8</v>
      </c>
      <c r="W18" s="16">
        <f>'YVAM chiller load reference'!DH16</f>
        <v>0</v>
      </c>
      <c r="X18" s="16">
        <f>W18*Table1342[[#This Row],[Total Operating Hours]]</f>
        <v>0</v>
      </c>
      <c r="Y18" s="11">
        <f>'YVAM chiller load reference'!BI16</f>
        <v>14.81</v>
      </c>
      <c r="Z18" s="16">
        <f>Y18*Table1342[[#This Row],[Total Operating Hours]]</f>
        <v>3850.6</v>
      </c>
      <c r="AA18" s="11">
        <f>'YVAM chiller load reference'!BP16</f>
        <v>13.19</v>
      </c>
      <c r="AB18" s="16">
        <f>AA18*Table1342[[#This Row],[Total Operating Hours]]</f>
        <v>3429.4</v>
      </c>
    </row>
    <row r="19" spans="1:28" x14ac:dyDescent="0.25">
      <c r="A19" s="17" t="s">
        <v>12</v>
      </c>
      <c r="B19" s="4">
        <f t="shared" si="0"/>
        <v>42.5</v>
      </c>
      <c r="C19" s="5">
        <f>(Table1342[[#This Row],[Average Ambient'[F']]]-32)/1.8</f>
        <v>5.833333333333333</v>
      </c>
      <c r="D19" s="17">
        <v>409</v>
      </c>
      <c r="E19" s="16">
        <f>'YVAM chiller load reference'!D17</f>
        <v>45.21</v>
      </c>
      <c r="F19" s="16">
        <f>E19*Table1342[[#This Row],[Total Operating Hours]]</f>
        <v>18490.89</v>
      </c>
      <c r="G19" s="11">
        <f>'YVAM chiller load reference'!L17</f>
        <v>35.86</v>
      </c>
      <c r="H19" s="11">
        <f>G19*Table1342[[#This Row],[Total Operating Hours]]</f>
        <v>14666.74</v>
      </c>
      <c r="I19" s="11">
        <f>'YVAM chiller load reference'!S17</f>
        <v>29.14</v>
      </c>
      <c r="J19" s="11">
        <f>I19*Table1342[[#This Row],[Total Operating Hours]]</f>
        <v>11918.26</v>
      </c>
      <c r="K19" s="11">
        <f>'YVAM chiller load reference'!Z17</f>
        <v>23.41</v>
      </c>
      <c r="L19" s="11">
        <f>K19*Table1342[[#This Row],[Total Operating Hours]]</f>
        <v>9574.69</v>
      </c>
      <c r="M19" s="11">
        <f>'YVAM chiller load reference'!BD17</f>
        <v>91.5</v>
      </c>
      <c r="N19" s="11">
        <f>M19*Table1342[[#This Row],[Total Operating Hours]]</f>
        <v>37423.5</v>
      </c>
      <c r="O19" s="11">
        <f>'YVAM chiller load reference'!AG17</f>
        <v>20.53</v>
      </c>
      <c r="P19" s="11">
        <f>O19*Table1342[[#This Row],[Total Operating Hours]]</f>
        <v>8396.77</v>
      </c>
      <c r="Q19" s="11">
        <f>'YVAM chiller load reference'!AN17</f>
        <v>19.07</v>
      </c>
      <c r="R19" s="11">
        <f>Q19*Table1342[[#This Row],[Total Operating Hours]]</f>
        <v>7799.63</v>
      </c>
      <c r="S19" s="11">
        <f>'YVAM chiller load reference'!AU17</f>
        <v>17.95</v>
      </c>
      <c r="T19" s="11">
        <f>S19*Table1342[[#This Row],[Total Operating Hours]]</f>
        <v>7341.5499999999993</v>
      </c>
      <c r="U19" s="11">
        <f>'YVAM chiller load reference'!BB17</f>
        <v>16.36</v>
      </c>
      <c r="V19" s="11">
        <f>U19*Table1342[[#This Row],[Total Operating Hours]]</f>
        <v>6691.24</v>
      </c>
      <c r="W19" s="11">
        <f>'YVAM chiller load reference'!DH17</f>
        <v>0</v>
      </c>
      <c r="X19" s="11">
        <f>W19*Table1342[[#This Row],[Total Operating Hours]]</f>
        <v>0</v>
      </c>
      <c r="Y19" s="11">
        <f>'YVAM chiller load reference'!BI17</f>
        <v>14.88</v>
      </c>
      <c r="Z19" s="11">
        <f>Y19*Table1342[[#This Row],[Total Operating Hours]]</f>
        <v>6085.92</v>
      </c>
      <c r="AA19" s="11">
        <f>'YVAM chiller load reference'!BP17</f>
        <v>13.73</v>
      </c>
      <c r="AB19" s="11">
        <f>AA19*Table1342[[#This Row],[Total Operating Hours]]</f>
        <v>5615.5700000000006</v>
      </c>
    </row>
    <row r="20" spans="1:28" x14ac:dyDescent="0.25">
      <c r="A20" s="17" t="s">
        <v>13</v>
      </c>
      <c r="B20" s="4">
        <f t="shared" si="0"/>
        <v>37.5</v>
      </c>
      <c r="C20" s="5">
        <f>(Table1342[[#This Row],[Average Ambient'[F']]]-32)/1.8</f>
        <v>3.0555555555555554</v>
      </c>
      <c r="D20" s="17">
        <v>370</v>
      </c>
      <c r="E20" s="16">
        <f>'YVAM chiller load reference'!D18</f>
        <v>43.48</v>
      </c>
      <c r="F20" s="16">
        <f>E20*Table1342[[#This Row],[Total Operating Hours]]</f>
        <v>16087.599999999999</v>
      </c>
      <c r="G20" s="11">
        <f>'YVAM chiller load reference'!L18</f>
        <v>34.6</v>
      </c>
      <c r="H20" s="16">
        <f>G20*Table1342[[#This Row],[Total Operating Hours]]</f>
        <v>12802</v>
      </c>
      <c r="I20" s="11">
        <f>'YVAM chiller load reference'!S18</f>
        <v>28.83</v>
      </c>
      <c r="J20" s="16">
        <f>I20*Table1342[[#This Row],[Total Operating Hours]]</f>
        <v>10667.099999999999</v>
      </c>
      <c r="K20" s="11">
        <f>'YVAM chiller load reference'!Z18</f>
        <v>23.36</v>
      </c>
      <c r="L20" s="16">
        <f>K20*Table1342[[#This Row],[Total Operating Hours]]</f>
        <v>8643.1999999999989</v>
      </c>
      <c r="M20" s="16">
        <f>'YVAM chiller load reference'!BD18</f>
        <v>91.5</v>
      </c>
      <c r="N20" s="16">
        <f>M20*Table1342[[#This Row],[Total Operating Hours]]</f>
        <v>33855</v>
      </c>
      <c r="O20" s="11">
        <f>'YVAM chiller load reference'!AG18</f>
        <v>20.21</v>
      </c>
      <c r="P20" s="16">
        <f>O20*Table1342[[#This Row],[Total Operating Hours]]</f>
        <v>7477.7000000000007</v>
      </c>
      <c r="Q20" s="11">
        <f>'YVAM chiller load reference'!AN18</f>
        <v>18.8</v>
      </c>
      <c r="R20" s="16">
        <f>Q20*Table1342[[#This Row],[Total Operating Hours]]</f>
        <v>6956</v>
      </c>
      <c r="S20" s="11">
        <f>'YVAM chiller load reference'!AU18</f>
        <v>17.97</v>
      </c>
      <c r="T20" s="16">
        <f>S20*Table1342[[#This Row],[Total Operating Hours]]</f>
        <v>6648.9</v>
      </c>
      <c r="U20" s="11">
        <f>'YVAM chiller load reference'!BB18</f>
        <v>16.329999999999998</v>
      </c>
      <c r="V20" s="16">
        <f>U20*Table1342[[#This Row],[Total Operating Hours]]</f>
        <v>6042.0999999999995</v>
      </c>
      <c r="W20" s="16">
        <f>'YVAM chiller load reference'!DH18</f>
        <v>0</v>
      </c>
      <c r="X20" s="16">
        <f>W20*Table1342[[#This Row],[Total Operating Hours]]</f>
        <v>0</v>
      </c>
      <c r="Y20" s="11">
        <f>'YVAM chiller load reference'!BI18</f>
        <v>14.56</v>
      </c>
      <c r="Z20" s="16">
        <f>Y20*Table1342[[#This Row],[Total Operating Hours]]</f>
        <v>5387.2</v>
      </c>
      <c r="AA20" s="11">
        <f>'YVAM chiller load reference'!BP18</f>
        <v>13.14</v>
      </c>
      <c r="AB20" s="16">
        <f>AA20*Table1342[[#This Row],[Total Operating Hours]]</f>
        <v>4861.8</v>
      </c>
    </row>
    <row r="21" spans="1:28" x14ac:dyDescent="0.25">
      <c r="A21" s="17" t="s">
        <v>14</v>
      </c>
      <c r="B21" s="4">
        <f t="shared" si="0"/>
        <v>32.5</v>
      </c>
      <c r="C21" s="5">
        <f>(Table1342[[#This Row],[Average Ambient'[F']]]-32)/1.8</f>
        <v>0.27777777777777779</v>
      </c>
      <c r="D21" s="17">
        <v>367</v>
      </c>
      <c r="E21" s="16">
        <f>'YVAM chiller load reference'!D19</f>
        <v>42.56</v>
      </c>
      <c r="F21" s="16">
        <f>E21*Table1342[[#This Row],[Total Operating Hours]]</f>
        <v>15619.52</v>
      </c>
      <c r="G21" s="11">
        <f>'YVAM chiller load reference'!L19</f>
        <v>33.9</v>
      </c>
      <c r="H21" s="11">
        <f>G21*Table1342[[#This Row],[Total Operating Hours]]</f>
        <v>12441.3</v>
      </c>
      <c r="I21" s="11">
        <f>'YVAM chiller load reference'!S19</f>
        <v>27.78</v>
      </c>
      <c r="J21" s="11">
        <f>I21*Table1342[[#This Row],[Total Operating Hours]]</f>
        <v>10195.26</v>
      </c>
      <c r="K21" s="11">
        <f>'YVAM chiller load reference'!Z19</f>
        <v>24.29</v>
      </c>
      <c r="L21" s="11">
        <f>K21*Table1342[[#This Row],[Total Operating Hours]]</f>
        <v>8914.43</v>
      </c>
      <c r="M21" s="11">
        <f>'YVAM chiller load reference'!BD19</f>
        <v>91.5</v>
      </c>
      <c r="N21" s="11">
        <f>M21*Table1342[[#This Row],[Total Operating Hours]]</f>
        <v>33580.5</v>
      </c>
      <c r="O21" s="11">
        <f>'YVAM chiller load reference'!AG19</f>
        <v>20.02</v>
      </c>
      <c r="P21" s="11">
        <f>O21*Table1342[[#This Row],[Total Operating Hours]]</f>
        <v>7347.34</v>
      </c>
      <c r="Q21" s="11">
        <f>'YVAM chiller load reference'!AN19</f>
        <v>18.64</v>
      </c>
      <c r="R21" s="11">
        <f>Q21*Table1342[[#This Row],[Total Operating Hours]]</f>
        <v>6840.88</v>
      </c>
      <c r="S21" s="11">
        <f>'YVAM chiller load reference'!AU19</f>
        <v>17.739999999999998</v>
      </c>
      <c r="T21" s="11">
        <f>S21*Table1342[[#This Row],[Total Operating Hours]]</f>
        <v>6510.579999999999</v>
      </c>
      <c r="U21" s="11">
        <f>'YVAM chiller load reference'!BB19</f>
        <v>16.489999999999998</v>
      </c>
      <c r="V21" s="11">
        <f>U21*Table1342[[#This Row],[Total Operating Hours]]</f>
        <v>6051.829999999999</v>
      </c>
      <c r="W21" s="11">
        <f>'YVAM chiller load reference'!DH19</f>
        <v>0</v>
      </c>
      <c r="X21" s="11">
        <f>W21*Table1342[[#This Row],[Total Operating Hours]]</f>
        <v>0</v>
      </c>
      <c r="Y21" s="11">
        <f>'YVAM chiller load reference'!BI19</f>
        <v>14.35</v>
      </c>
      <c r="Z21" s="11">
        <f>Y21*Table1342[[#This Row],[Total Operating Hours]]</f>
        <v>5266.45</v>
      </c>
      <c r="AA21" s="11">
        <f>'YVAM chiller load reference'!BP19</f>
        <v>17.010000000000002</v>
      </c>
      <c r="AB21" s="11">
        <f>AA21*Table1342[[#This Row],[Total Operating Hours]]</f>
        <v>6242.670000000001</v>
      </c>
    </row>
    <row r="22" spans="1:28" x14ac:dyDescent="0.25">
      <c r="A22" s="17" t="s">
        <v>15</v>
      </c>
      <c r="B22" s="4">
        <f t="shared" si="0"/>
        <v>27.5</v>
      </c>
      <c r="C22" s="5">
        <f>(Table1342[[#This Row],[Average Ambient'[F']]]-32)/1.8</f>
        <v>-2.5</v>
      </c>
      <c r="D22" s="17">
        <v>234</v>
      </c>
      <c r="E22" s="16">
        <f>'YVAM chiller load reference'!D20</f>
        <v>41.86</v>
      </c>
      <c r="F22" s="16">
        <f>E22*Table1342[[#This Row],[Total Operating Hours]]</f>
        <v>9795.24</v>
      </c>
      <c r="G22" s="11">
        <f>'YVAM chiller load reference'!L20</f>
        <v>33.549999999999997</v>
      </c>
      <c r="H22" s="16">
        <f>G22*Table1342[[#This Row],[Total Operating Hours]]</f>
        <v>7850.6999999999989</v>
      </c>
      <c r="I22" s="11">
        <f>'YVAM chiller load reference'!S20</f>
        <v>29.31</v>
      </c>
      <c r="J22" s="16">
        <f>I22*Table1342[[#This Row],[Total Operating Hours]]</f>
        <v>6858.54</v>
      </c>
      <c r="K22" s="11">
        <f>'YVAM chiller load reference'!Z20</f>
        <v>22.91</v>
      </c>
      <c r="L22" s="16">
        <f>K22*Table1342[[#This Row],[Total Operating Hours]]</f>
        <v>5360.94</v>
      </c>
      <c r="M22" s="16">
        <f>'YVAM chiller load reference'!BD20</f>
        <v>91.5</v>
      </c>
      <c r="N22" s="16">
        <f>M22*Table1342[[#This Row],[Total Operating Hours]]</f>
        <v>21411</v>
      </c>
      <c r="O22" s="11">
        <f>'YVAM chiller load reference'!AG20</f>
        <v>19.86</v>
      </c>
      <c r="P22" s="16">
        <f>O22*Table1342[[#This Row],[Total Operating Hours]]</f>
        <v>4647.24</v>
      </c>
      <c r="Q22" s="11">
        <f>'YVAM chiller load reference'!AN20</f>
        <v>18.54</v>
      </c>
      <c r="R22" s="16">
        <f>Q22*Table1342[[#This Row],[Total Operating Hours]]</f>
        <v>4338.3599999999997</v>
      </c>
      <c r="S22" s="11">
        <f>'YVAM chiller load reference'!AU20</f>
        <v>17.670000000000002</v>
      </c>
      <c r="T22" s="16">
        <f>S22*Table1342[[#This Row],[Total Operating Hours]]</f>
        <v>4134.7800000000007</v>
      </c>
      <c r="U22" s="11">
        <f>'YVAM chiller load reference'!BB20</f>
        <v>16.32</v>
      </c>
      <c r="V22" s="16">
        <f>U22*Table1342[[#This Row],[Total Operating Hours]]</f>
        <v>3818.88</v>
      </c>
      <c r="W22" s="16">
        <f>'YVAM chiller load reference'!DH20</f>
        <v>0</v>
      </c>
      <c r="X22" s="16">
        <f>W22*Table1342[[#This Row],[Total Operating Hours]]</f>
        <v>0</v>
      </c>
      <c r="Y22" s="11">
        <f>'YVAM chiller load reference'!BI20</f>
        <v>14.8</v>
      </c>
      <c r="Z22" s="16">
        <f>Y22*Table1342[[#This Row],[Total Operating Hours]]</f>
        <v>3463.2000000000003</v>
      </c>
      <c r="AA22" s="11">
        <f>'YVAM chiller load reference'!BP20</f>
        <v>0</v>
      </c>
      <c r="AB22" s="16">
        <f>AA22*Table1342[[#This Row],[Total Operating Hours]]</f>
        <v>0</v>
      </c>
    </row>
    <row r="23" spans="1:28" x14ac:dyDescent="0.25">
      <c r="A23" s="17" t="s">
        <v>29</v>
      </c>
      <c r="B23" s="4">
        <f t="shared" si="0"/>
        <v>22.5</v>
      </c>
      <c r="C23" s="5">
        <f>(Table1342[[#This Row],[Average Ambient'[F']]]-32)/1.8</f>
        <v>-5.2777777777777777</v>
      </c>
      <c r="D23" s="17">
        <v>91</v>
      </c>
      <c r="E23" s="16">
        <f>'YVAM chiller load reference'!D21</f>
        <v>44.35</v>
      </c>
      <c r="F23" s="11">
        <f>E23*Table1342[[#This Row],[Total Operating Hours]]</f>
        <v>4035.85</v>
      </c>
      <c r="G23" s="11">
        <f>'YVAM chiller load reference'!L21</f>
        <v>34.270000000000003</v>
      </c>
      <c r="H23" s="11">
        <f>G23*Table1342[[#This Row],[Total Operating Hours]]</f>
        <v>3118.57</v>
      </c>
      <c r="I23" s="11">
        <f>'YVAM chiller load reference'!S21</f>
        <v>28.1</v>
      </c>
      <c r="J23" s="11">
        <f>I23*Table1342[[#This Row],[Total Operating Hours]]</f>
        <v>2557.1</v>
      </c>
      <c r="K23" s="11">
        <f>'YVAM chiller load reference'!Z21</f>
        <v>23.57</v>
      </c>
      <c r="L23" s="11">
        <f>K23*Table1342[[#This Row],[Total Operating Hours]]</f>
        <v>2144.87</v>
      </c>
      <c r="M23" s="11">
        <f>'YVAM chiller load reference'!BD21</f>
        <v>91.5</v>
      </c>
      <c r="N23" s="11">
        <f>M23*Table1342[[#This Row],[Total Operating Hours]]</f>
        <v>8326.5</v>
      </c>
      <c r="O23" s="11">
        <f>'YVAM chiller load reference'!AG21</f>
        <v>19.82</v>
      </c>
      <c r="P23" s="11">
        <f>O23*Table1342[[#This Row],[Total Operating Hours]]</f>
        <v>1803.6200000000001</v>
      </c>
      <c r="Q23" s="11">
        <f>'YVAM chiller load reference'!AN21</f>
        <v>18.489999999999998</v>
      </c>
      <c r="R23" s="11">
        <f>Q23*Table1342[[#This Row],[Total Operating Hours]]</f>
        <v>1682.59</v>
      </c>
      <c r="S23" s="11">
        <f>'YVAM chiller load reference'!AU21</f>
        <v>17.64</v>
      </c>
      <c r="T23" s="11">
        <f>S23*Table1342[[#This Row],[Total Operating Hours]]</f>
        <v>1605.24</v>
      </c>
      <c r="U23" s="11">
        <f>'YVAM chiller load reference'!BB21</f>
        <v>16.350000000000001</v>
      </c>
      <c r="V23" s="11">
        <f>U23*Table1342[[#This Row],[Total Operating Hours]]</f>
        <v>1487.8500000000001</v>
      </c>
      <c r="W23" s="11">
        <f>'YVAM chiller load reference'!DH21</f>
        <v>0</v>
      </c>
      <c r="X23" s="11">
        <f>W23*Table1342[[#This Row],[Total Operating Hours]]</f>
        <v>0</v>
      </c>
      <c r="Y23" s="11">
        <f>'YVAM chiller load reference'!BI21</f>
        <v>14.37</v>
      </c>
      <c r="Z23" s="11">
        <f>Y23*Table1342[[#This Row],[Total Operating Hours]]</f>
        <v>1307.6699999999998</v>
      </c>
      <c r="AA23" s="23">
        <f>'YVAM chiller load reference'!BP21</f>
        <v>0</v>
      </c>
      <c r="AB23" s="24">
        <f>AA23*Table1342[[#This Row],[Total Operating Hours]]</f>
        <v>0</v>
      </c>
    </row>
    <row r="24" spans="1:28" x14ac:dyDescent="0.25">
      <c r="A24" s="17" t="s">
        <v>21</v>
      </c>
      <c r="B24" s="4">
        <f t="shared" si="0"/>
        <v>17.5</v>
      </c>
      <c r="C24" s="8">
        <f>(Table1342[[#This Row],[Average Ambient'[F']]]-32)/1.8</f>
        <v>-8.0555555555555554</v>
      </c>
      <c r="D24" s="17">
        <v>140</v>
      </c>
      <c r="E24" s="16">
        <v>42.57</v>
      </c>
      <c r="F24" s="16">
        <f>E24*Table1342[[#This Row],[Total Operating Hours]]</f>
        <v>5959.8</v>
      </c>
      <c r="G24" s="11">
        <v>33.770000000000003</v>
      </c>
      <c r="H24" s="16">
        <f>G24*Table1342[[#This Row],[Total Operating Hours]]</f>
        <v>4727.8</v>
      </c>
      <c r="I24" s="11">
        <v>28.39</v>
      </c>
      <c r="J24" s="16">
        <f>I24*Table1342[[#This Row],[Total Operating Hours]]</f>
        <v>3974.6</v>
      </c>
      <c r="K24" s="11">
        <v>23.28</v>
      </c>
      <c r="L24" s="16">
        <f>K24*Table1342[[#This Row],[Total Operating Hours]]</f>
        <v>3259.2000000000003</v>
      </c>
      <c r="M24" s="16">
        <f>'YVAM chiller load reference'!BD22</f>
        <v>0</v>
      </c>
      <c r="N24" s="16">
        <f>M24*Table1342[[#This Row],[Total Operating Hours]]</f>
        <v>0</v>
      </c>
      <c r="O24" s="11">
        <v>19.8</v>
      </c>
      <c r="P24" s="16">
        <f>O24*Table1342[[#This Row],[Total Operating Hours]]</f>
        <v>2772</v>
      </c>
      <c r="Q24" s="11">
        <v>18.41</v>
      </c>
      <c r="R24" s="16">
        <f>Q24*Table1342[[#This Row],[Total Operating Hours]]</f>
        <v>2577.4</v>
      </c>
      <c r="S24" s="11">
        <v>17.66</v>
      </c>
      <c r="T24" s="16">
        <f>S24*Table1342[[#This Row],[Total Operating Hours]]</f>
        <v>2472.4</v>
      </c>
      <c r="U24" s="11">
        <v>16.649999999999999</v>
      </c>
      <c r="V24" s="16">
        <f>U24*Table1342[[#This Row],[Total Operating Hours]]</f>
        <v>2331</v>
      </c>
      <c r="W24" s="16">
        <f>'YVAM chiller load reference'!DH22</f>
        <v>0</v>
      </c>
      <c r="X24" s="16">
        <f>W24*Table1342[[#This Row],[Total Operating Hours]]</f>
        <v>0</v>
      </c>
      <c r="Y24" s="11">
        <v>0</v>
      </c>
      <c r="Z24" s="16">
        <f>Y24*Table1342[[#This Row],[Total Operating Hours]]</f>
        <v>0</v>
      </c>
      <c r="AA24" s="11">
        <f>'YVAM chiller load reference'!BP22</f>
        <v>0</v>
      </c>
      <c r="AB24" s="16">
        <f>AA24*Table1342[[#This Row],[Total Operating Hours]]</f>
        <v>0</v>
      </c>
    </row>
    <row r="25" spans="1:28" x14ac:dyDescent="0.25">
      <c r="A25" s="17" t="s">
        <v>30</v>
      </c>
      <c r="B25" s="4">
        <f t="shared" si="0"/>
        <v>12.5</v>
      </c>
      <c r="C25" s="8">
        <f>(Table1342[[#This Row],[Average Ambient'[F']]]-32)/1.8</f>
        <v>-10.833333333333334</v>
      </c>
      <c r="D25" s="17">
        <v>56</v>
      </c>
      <c r="E25" s="16">
        <v>41.69</v>
      </c>
      <c r="F25" s="16">
        <f>E25*Table1342[[#This Row],[Total Operating Hours]]</f>
        <v>2334.64</v>
      </c>
      <c r="G25" s="19">
        <v>34.4</v>
      </c>
      <c r="H25" s="16">
        <f>G25*Table1342[[#This Row],[Total Operating Hours]]</f>
        <v>1926.3999999999999</v>
      </c>
      <c r="I25" s="19">
        <v>28.46</v>
      </c>
      <c r="J25" s="16">
        <f>I25*Table1342[[#This Row],[Total Operating Hours]]</f>
        <v>1593.76</v>
      </c>
      <c r="K25" s="11">
        <v>23.86</v>
      </c>
      <c r="L25" s="16">
        <f>K25*Table1342[[#This Row],[Total Operating Hours]]</f>
        <v>1336.1599999999999</v>
      </c>
      <c r="M25" s="16"/>
      <c r="N25" s="18"/>
      <c r="O25" s="11">
        <v>19.829999999999998</v>
      </c>
      <c r="P25" s="16">
        <f>O25*Table1342[[#This Row],[Total Operating Hours]]</f>
        <v>1110.48</v>
      </c>
      <c r="Q25" s="11">
        <v>18.39</v>
      </c>
      <c r="R25" s="16">
        <f>Q25*Table1342[[#This Row],[Total Operating Hours]]</f>
        <v>1029.8400000000001</v>
      </c>
      <c r="S25" s="11">
        <v>17.7</v>
      </c>
      <c r="T25" s="16">
        <f>S25*Table1342[[#This Row],[Total Operating Hours]]</f>
        <v>991.19999999999993</v>
      </c>
      <c r="U25" s="11">
        <v>16.54</v>
      </c>
      <c r="V25" s="16">
        <f>U25*Table1342[[#This Row],[Total Operating Hours]]</f>
        <v>926.24</v>
      </c>
      <c r="W25" s="16"/>
      <c r="X25" s="18"/>
      <c r="Y25" s="11">
        <v>0</v>
      </c>
      <c r="Z25" s="16">
        <f>Y25*Table1342[[#This Row],[Total Operating Hours]]</f>
        <v>0</v>
      </c>
      <c r="AA25" s="11">
        <f>'YVAM chiller load reference'!BP23</f>
        <v>0</v>
      </c>
      <c r="AB25" s="16">
        <f>AA25*Table1342[[#This Row],[Total Operating Hours]]</f>
        <v>0</v>
      </c>
    </row>
    <row r="26" spans="1:28" x14ac:dyDescent="0.25">
      <c r="A26" s="20" t="s">
        <v>31</v>
      </c>
      <c r="B26" s="4">
        <f t="shared" si="0"/>
        <v>7.5</v>
      </c>
      <c r="C26" s="8">
        <f>(Table1342[[#This Row],[Average Ambient'[F']]]-32)/1.8</f>
        <v>-13.611111111111111</v>
      </c>
      <c r="D26" s="17">
        <v>10</v>
      </c>
      <c r="E26" s="16">
        <v>42.66</v>
      </c>
      <c r="F26" s="16">
        <f>E26*Table1342[[#This Row],[Total Operating Hours]]</f>
        <v>426.59999999999997</v>
      </c>
      <c r="G26" s="19">
        <v>34.479999999999997</v>
      </c>
      <c r="H26" s="16">
        <f>G26*Table1342[[#This Row],[Total Operating Hours]]</f>
        <v>344.79999999999995</v>
      </c>
      <c r="I26" s="19">
        <v>27.76</v>
      </c>
      <c r="J26" s="16">
        <f>I26*Table1342[[#This Row],[Total Operating Hours]]</f>
        <v>277.60000000000002</v>
      </c>
      <c r="K26" s="11">
        <v>22.83</v>
      </c>
      <c r="L26" s="16">
        <f>K26*Table1342[[#This Row],[Total Operating Hours]]</f>
        <v>228.29999999999998</v>
      </c>
      <c r="M26" s="16"/>
      <c r="N26" s="18"/>
      <c r="O26" s="11">
        <v>19.8</v>
      </c>
      <c r="P26" s="16">
        <f>O26*Table1342[[#This Row],[Total Operating Hours]]</f>
        <v>198</v>
      </c>
      <c r="Q26" s="11">
        <v>18.36</v>
      </c>
      <c r="R26" s="16">
        <f>Q26*Table1342[[#This Row],[Total Operating Hours]]</f>
        <v>183.6</v>
      </c>
      <c r="S26" s="11">
        <v>17.62</v>
      </c>
      <c r="T26" s="16">
        <f>S26*Table1342[[#This Row],[Total Operating Hours]]</f>
        <v>176.20000000000002</v>
      </c>
      <c r="U26" s="11">
        <v>16.55</v>
      </c>
      <c r="V26" s="16">
        <f>U26*Table1342[[#This Row],[Total Operating Hours]]</f>
        <v>165.5</v>
      </c>
      <c r="W26" s="16"/>
      <c r="X26" s="18"/>
      <c r="Y26" s="11">
        <v>0</v>
      </c>
      <c r="Z26" s="16">
        <f>Y26*Table1342[[#This Row],[Total Operating Hours]]</f>
        <v>0</v>
      </c>
      <c r="AA26" s="11">
        <f>'YVAM chiller load reference'!BP24</f>
        <v>0</v>
      </c>
      <c r="AB26" s="16">
        <f>AA26*Table1342[[#This Row],[Total Operating Hours]]</f>
        <v>0</v>
      </c>
    </row>
    <row r="27" spans="1:28" ht="15" thickBot="1" x14ac:dyDescent="0.3">
      <c r="A27" s="20" t="s">
        <v>32</v>
      </c>
      <c r="B27" s="4">
        <f t="shared" si="0"/>
        <v>2.5</v>
      </c>
      <c r="C27" s="8">
        <f>(Table1342[[#This Row],[Average Ambient'[F']]]-32)/1.8</f>
        <v>-16.388888888888889</v>
      </c>
      <c r="D27" s="17">
        <v>6</v>
      </c>
      <c r="E27" s="16">
        <v>42.09</v>
      </c>
      <c r="F27" s="16">
        <f>E27*Table1342[[#This Row],[Total Operating Hours]]</f>
        <v>252.54000000000002</v>
      </c>
      <c r="G27" s="19">
        <v>33.630000000000003</v>
      </c>
      <c r="H27" s="16">
        <f>G27*Table1342[[#This Row],[Total Operating Hours]]</f>
        <v>201.78000000000003</v>
      </c>
      <c r="I27" s="19">
        <v>28.19</v>
      </c>
      <c r="J27" s="16">
        <f>I27*Table1342[[#This Row],[Total Operating Hours]]</f>
        <v>169.14000000000001</v>
      </c>
      <c r="K27" s="11">
        <v>22.95</v>
      </c>
      <c r="L27" s="16">
        <f>K27*Table1342[[#This Row],[Total Operating Hours]]</f>
        <v>137.69999999999999</v>
      </c>
      <c r="M27" s="16"/>
      <c r="N27" s="18"/>
      <c r="O27" s="11">
        <v>19.760000000000002</v>
      </c>
      <c r="P27" s="16">
        <f>O27*Table1342[[#This Row],[Total Operating Hours]]</f>
        <v>118.56</v>
      </c>
      <c r="Q27" s="11">
        <v>18.350000000000001</v>
      </c>
      <c r="R27" s="16">
        <f>Q27*Table1342[[#This Row],[Total Operating Hours]]</f>
        <v>110.10000000000001</v>
      </c>
      <c r="S27" s="11">
        <v>17.62</v>
      </c>
      <c r="T27" s="16">
        <f>S27*Table1342[[#This Row],[Total Operating Hours]]</f>
        <v>105.72</v>
      </c>
      <c r="U27" s="11">
        <v>16.43</v>
      </c>
      <c r="V27" s="16">
        <f>U27*Table1342[[#This Row],[Total Operating Hours]]</f>
        <v>98.58</v>
      </c>
      <c r="W27" s="16"/>
      <c r="X27" s="18"/>
      <c r="Y27" s="11">
        <v>0</v>
      </c>
      <c r="Z27" s="16">
        <f>Y27*Table1342[[#This Row],[Total Operating Hours]]</f>
        <v>0</v>
      </c>
      <c r="AA27" s="11">
        <f>'YVAM chiller load reference'!BP25</f>
        <v>0</v>
      </c>
      <c r="AB27" s="16">
        <f>AA27*Table1342[[#This Row],[Total Operating Hours]]</f>
        <v>0</v>
      </c>
    </row>
    <row r="28" spans="1:28" ht="15" thickTop="1" x14ac:dyDescent="0.25">
      <c r="A28" s="1"/>
      <c r="B28" s="1"/>
      <c r="C28" s="1"/>
      <c r="D28" s="1">
        <f>SUM(D5:D27)</f>
        <v>8760</v>
      </c>
      <c r="E28" s="9"/>
      <c r="F28" s="2">
        <f>SUBTOTAL(109,Table1342[Annual kW])</f>
        <v>846000.16999999993</v>
      </c>
      <c r="G28" s="10"/>
      <c r="H28" s="3">
        <f>SUM(H5:H27)</f>
        <v>713927.38000000012</v>
      </c>
      <c r="I28" s="10"/>
      <c r="J28" s="3">
        <f>SUM(J5:J27)</f>
        <v>601633.31000000006</v>
      </c>
      <c r="K28" s="17"/>
      <c r="L28" s="3">
        <f>SUM(L5:L27)</f>
        <v>501726.25000000006</v>
      </c>
      <c r="M28" s="17"/>
      <c r="N28" s="3">
        <f>SUM(N5:N24)</f>
        <v>873758</v>
      </c>
      <c r="O28" s="17"/>
      <c r="P28" s="3">
        <f>SUM(P5:P27)</f>
        <v>415670.52</v>
      </c>
      <c r="Q28" s="17"/>
      <c r="R28" s="3">
        <f>SUM(R5:R27)</f>
        <v>346244.16000000003</v>
      </c>
      <c r="S28" s="17"/>
      <c r="T28" s="3">
        <f>SUM(T5:T27)</f>
        <v>287662.20000000007</v>
      </c>
      <c r="U28" s="17"/>
      <c r="V28" s="3">
        <f>SUM(V5:V24)</f>
        <v>236557.24000000002</v>
      </c>
      <c r="W28" s="17"/>
      <c r="X28" s="3">
        <f>SUM(X5:X24)</f>
        <v>0</v>
      </c>
      <c r="Y28" s="17"/>
      <c r="Z28" s="3">
        <f>SUM(Z5:Z24)</f>
        <v>191928.19000000006</v>
      </c>
      <c r="AA28" s="17"/>
      <c r="AB28" s="21">
        <f>SUM(AB5:AB24)</f>
        <v>172992.02999999997</v>
      </c>
    </row>
    <row r="29" spans="1:28" x14ac:dyDescent="0.25">
      <c r="L29" s="12"/>
    </row>
  </sheetData>
  <mergeCells count="14">
    <mergeCell ref="U3:V3"/>
    <mergeCell ref="W3:X3"/>
    <mergeCell ref="Y3:Z3"/>
    <mergeCell ref="AA3:AB3"/>
    <mergeCell ref="A2:AB2"/>
    <mergeCell ref="A3:D3"/>
    <mergeCell ref="E3:F3"/>
    <mergeCell ref="G3:H3"/>
    <mergeCell ref="I3:J3"/>
    <mergeCell ref="K3:L3"/>
    <mergeCell ref="M3:N3"/>
    <mergeCell ref="O3:P3"/>
    <mergeCell ref="Q3:R3"/>
    <mergeCell ref="S3:T3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21"/>
  <sheetViews>
    <sheetView topLeftCell="BA1" workbookViewId="0">
      <selection activeCell="BR23" sqref="BR23"/>
    </sheetView>
  </sheetViews>
  <sheetFormatPr defaultRowHeight="14.4" x14ac:dyDescent="0.25"/>
  <cols>
    <col min="1" max="1" width="8.88671875" customWidth="1"/>
    <col min="2" max="2" width="5.5546875" bestFit="1" customWidth="1"/>
    <col min="4" max="4" width="12.21875" customWidth="1"/>
    <col min="38" max="38" width="5.5546875" bestFit="1" customWidth="1"/>
    <col min="39" max="39" width="6.5546875" bestFit="1" customWidth="1"/>
    <col min="40" max="41" width="5.5546875" bestFit="1" customWidth="1"/>
    <col min="47" max="47" width="5.5546875" bestFit="1" customWidth="1"/>
  </cols>
  <sheetData>
    <row r="1" spans="1:70" x14ac:dyDescent="0.25">
      <c r="D1" t="s">
        <v>27</v>
      </c>
    </row>
    <row r="2" spans="1:70" x14ac:dyDescent="0.25">
      <c r="A2" s="13">
        <v>100</v>
      </c>
      <c r="B2">
        <v>46.1</v>
      </c>
      <c r="C2">
        <v>1300</v>
      </c>
      <c r="D2">
        <v>305</v>
      </c>
      <c r="E2">
        <v>4.2629999999999999</v>
      </c>
      <c r="F2">
        <v>415.5</v>
      </c>
      <c r="I2">
        <v>100</v>
      </c>
      <c r="J2">
        <v>46.1</v>
      </c>
      <c r="K2">
        <v>1300</v>
      </c>
      <c r="L2">
        <v>305</v>
      </c>
      <c r="M2">
        <v>4.2629999999999999</v>
      </c>
      <c r="N2">
        <v>415.5</v>
      </c>
      <c r="P2">
        <v>100</v>
      </c>
      <c r="Q2">
        <v>46.1</v>
      </c>
      <c r="R2">
        <v>1300</v>
      </c>
      <c r="S2">
        <v>305</v>
      </c>
      <c r="T2">
        <v>4.2629999999999999</v>
      </c>
      <c r="U2">
        <v>415.5</v>
      </c>
      <c r="W2">
        <v>100</v>
      </c>
      <c r="X2">
        <v>46.1</v>
      </c>
      <c r="Y2">
        <v>1300</v>
      </c>
      <c r="Z2">
        <v>305</v>
      </c>
      <c r="AA2">
        <v>4.2629999999999999</v>
      </c>
      <c r="AB2">
        <v>415.5</v>
      </c>
      <c r="AD2">
        <v>100</v>
      </c>
      <c r="AE2">
        <v>46.1</v>
      </c>
      <c r="AF2">
        <v>1300</v>
      </c>
      <c r="AG2">
        <v>305</v>
      </c>
      <c r="AH2">
        <v>4.2629999999999999</v>
      </c>
      <c r="AI2">
        <v>415.5</v>
      </c>
      <c r="AK2">
        <v>100</v>
      </c>
      <c r="AL2">
        <v>46.1</v>
      </c>
      <c r="AM2">
        <v>1300</v>
      </c>
      <c r="AN2">
        <v>305</v>
      </c>
      <c r="AO2">
        <v>4.2629999999999999</v>
      </c>
      <c r="AP2">
        <v>415.5</v>
      </c>
      <c r="AR2">
        <v>100</v>
      </c>
      <c r="AS2">
        <v>46.1</v>
      </c>
      <c r="AT2">
        <v>1300</v>
      </c>
      <c r="AU2">
        <v>305</v>
      </c>
      <c r="AV2">
        <v>4.2629999999999999</v>
      </c>
      <c r="AW2">
        <v>415.5</v>
      </c>
      <c r="AY2">
        <v>100</v>
      </c>
      <c r="AZ2">
        <v>46.1</v>
      </c>
      <c r="BA2">
        <v>1300</v>
      </c>
      <c r="BB2">
        <v>305</v>
      </c>
      <c r="BC2">
        <v>4.2629999999999999</v>
      </c>
      <c r="BD2">
        <v>415.5</v>
      </c>
      <c r="BF2">
        <v>100</v>
      </c>
      <c r="BG2">
        <v>46.1</v>
      </c>
      <c r="BH2">
        <v>1300</v>
      </c>
      <c r="BI2">
        <v>305</v>
      </c>
      <c r="BJ2">
        <v>4.2629999999999999</v>
      </c>
      <c r="BK2">
        <v>415.5</v>
      </c>
      <c r="BM2">
        <v>100</v>
      </c>
      <c r="BN2">
        <v>46.1</v>
      </c>
      <c r="BO2">
        <v>1300</v>
      </c>
      <c r="BP2">
        <v>305</v>
      </c>
      <c r="BQ2">
        <v>4.2629999999999999</v>
      </c>
      <c r="BR2">
        <v>415.5</v>
      </c>
    </row>
    <row r="3" spans="1:70" s="15" customFormat="1" x14ac:dyDescent="0.25">
      <c r="A3" s="14">
        <v>100</v>
      </c>
      <c r="B3" s="15">
        <v>45</v>
      </c>
      <c r="C3" s="15">
        <v>1300</v>
      </c>
      <c r="D3" s="15">
        <v>289.39999999999998</v>
      </c>
      <c r="E3" s="15">
        <v>4.492</v>
      </c>
      <c r="F3" s="15">
        <v>396.5</v>
      </c>
      <c r="I3" s="15">
        <v>90</v>
      </c>
      <c r="J3" s="15">
        <v>45</v>
      </c>
      <c r="K3" s="15">
        <v>1170</v>
      </c>
      <c r="L3" s="15">
        <v>259.10000000000002</v>
      </c>
      <c r="M3" s="15">
        <v>4.5149999999999997</v>
      </c>
      <c r="N3" s="15">
        <v>358.5</v>
      </c>
      <c r="P3" s="15">
        <v>80</v>
      </c>
      <c r="Q3" s="15">
        <v>45</v>
      </c>
      <c r="R3" s="15">
        <v>1040</v>
      </c>
      <c r="S3" s="15">
        <v>230.1</v>
      </c>
      <c r="T3" s="15">
        <v>4.5190000000000001</v>
      </c>
      <c r="U3" s="15">
        <v>322.5</v>
      </c>
      <c r="W3" s="15">
        <v>70</v>
      </c>
      <c r="X3" s="15">
        <v>45</v>
      </c>
      <c r="Y3" s="15">
        <v>910.2</v>
      </c>
      <c r="Z3" s="15">
        <v>202.9</v>
      </c>
      <c r="AA3" s="15">
        <v>4.4859999999999998</v>
      </c>
      <c r="AB3" s="15">
        <v>300.5</v>
      </c>
      <c r="AD3" s="15">
        <v>60</v>
      </c>
      <c r="AE3" s="15">
        <v>45</v>
      </c>
      <c r="AF3" s="15">
        <v>780</v>
      </c>
      <c r="AG3" s="15">
        <v>177</v>
      </c>
      <c r="AH3" s="15">
        <v>4.407</v>
      </c>
      <c r="AI3" s="15">
        <v>268.5</v>
      </c>
      <c r="AK3" s="15">
        <v>50</v>
      </c>
      <c r="AL3" s="15">
        <v>45</v>
      </c>
      <c r="AM3" s="15">
        <v>649.9</v>
      </c>
      <c r="AN3" s="15">
        <v>153</v>
      </c>
      <c r="AO3" s="15">
        <v>4.2489999999999997</v>
      </c>
      <c r="AP3" s="15">
        <v>246.5</v>
      </c>
      <c r="AR3" s="15">
        <v>40</v>
      </c>
      <c r="AS3" s="15">
        <v>45</v>
      </c>
      <c r="AT3" s="15">
        <v>520.1</v>
      </c>
      <c r="AU3" s="15">
        <v>132</v>
      </c>
      <c r="AV3" s="15">
        <v>3.9390000000000001</v>
      </c>
      <c r="AW3" s="15">
        <v>223.5</v>
      </c>
      <c r="AY3" s="15">
        <v>30</v>
      </c>
      <c r="AZ3" s="15">
        <v>45</v>
      </c>
      <c r="BA3" s="15">
        <v>390</v>
      </c>
      <c r="BB3" s="15">
        <v>117.9</v>
      </c>
      <c r="BC3" s="15">
        <v>3.3090000000000002</v>
      </c>
      <c r="BD3" s="15">
        <v>203.5</v>
      </c>
      <c r="BF3" s="15">
        <v>20</v>
      </c>
      <c r="BG3" s="15">
        <v>45</v>
      </c>
      <c r="BH3" s="15">
        <v>260</v>
      </c>
      <c r="BI3" s="15">
        <v>114</v>
      </c>
      <c r="BJ3" s="15">
        <v>2.282</v>
      </c>
      <c r="BK3" s="15">
        <v>206.5</v>
      </c>
      <c r="BM3" s="15">
        <v>15</v>
      </c>
      <c r="BN3" s="15">
        <v>45</v>
      </c>
      <c r="BO3" s="15">
        <v>195</v>
      </c>
      <c r="BP3" s="15">
        <v>111.7</v>
      </c>
      <c r="BQ3" s="15">
        <v>1.746</v>
      </c>
      <c r="BR3" s="15">
        <v>205.5</v>
      </c>
    </row>
    <row r="4" spans="1:70" x14ac:dyDescent="0.25">
      <c r="A4" s="13">
        <v>100</v>
      </c>
      <c r="B4">
        <v>42</v>
      </c>
      <c r="C4">
        <v>1300</v>
      </c>
      <c r="D4">
        <v>256.89999999999998</v>
      </c>
      <c r="E4">
        <v>5.0609999999999999</v>
      </c>
      <c r="F4">
        <v>357.5</v>
      </c>
      <c r="I4">
        <v>90</v>
      </c>
      <c r="J4">
        <v>42</v>
      </c>
      <c r="K4">
        <v>1170</v>
      </c>
      <c r="L4">
        <v>226.8</v>
      </c>
      <c r="M4">
        <v>5.1589999999999998</v>
      </c>
      <c r="N4">
        <v>319.5</v>
      </c>
      <c r="P4">
        <v>80</v>
      </c>
      <c r="Q4">
        <v>42</v>
      </c>
      <c r="R4">
        <v>1040</v>
      </c>
      <c r="S4">
        <v>200.8</v>
      </c>
      <c r="T4">
        <v>5.18</v>
      </c>
      <c r="U4">
        <v>292.5</v>
      </c>
      <c r="W4">
        <v>70</v>
      </c>
      <c r="X4">
        <v>42</v>
      </c>
      <c r="Y4">
        <v>910.2</v>
      </c>
      <c r="Z4">
        <v>176.5</v>
      </c>
      <c r="AA4">
        <v>5.1550000000000002</v>
      </c>
      <c r="AB4">
        <v>268.5</v>
      </c>
      <c r="AD4">
        <v>60</v>
      </c>
      <c r="AE4">
        <v>42</v>
      </c>
      <c r="AF4">
        <v>780</v>
      </c>
      <c r="AG4">
        <v>153.80000000000001</v>
      </c>
      <c r="AH4">
        <v>5.0730000000000004</v>
      </c>
      <c r="AI4">
        <v>242.5</v>
      </c>
      <c r="AK4">
        <v>50</v>
      </c>
      <c r="AL4">
        <v>42</v>
      </c>
      <c r="AM4">
        <v>649.9</v>
      </c>
      <c r="AN4">
        <v>133.30000000000001</v>
      </c>
      <c r="AO4">
        <v>4.8760000000000003</v>
      </c>
      <c r="AP4">
        <v>220.5</v>
      </c>
      <c r="AR4">
        <v>40</v>
      </c>
      <c r="AS4">
        <v>42</v>
      </c>
      <c r="AT4">
        <v>520.1</v>
      </c>
      <c r="AU4">
        <v>114.2</v>
      </c>
      <c r="AV4">
        <v>4.5519999999999996</v>
      </c>
      <c r="AW4">
        <v>201.5</v>
      </c>
      <c r="AY4">
        <v>30</v>
      </c>
      <c r="AZ4">
        <v>42</v>
      </c>
      <c r="BA4">
        <v>390</v>
      </c>
      <c r="BB4">
        <v>98.73</v>
      </c>
      <c r="BC4">
        <v>3.95</v>
      </c>
      <c r="BD4">
        <v>185.5</v>
      </c>
      <c r="BF4">
        <v>20</v>
      </c>
      <c r="BG4">
        <v>42</v>
      </c>
      <c r="BH4">
        <v>260</v>
      </c>
      <c r="BI4">
        <v>93.41</v>
      </c>
      <c r="BJ4">
        <v>2.7850000000000001</v>
      </c>
      <c r="BK4">
        <v>179.5</v>
      </c>
      <c r="BM4">
        <v>15</v>
      </c>
      <c r="BN4">
        <v>42</v>
      </c>
      <c r="BO4">
        <v>195</v>
      </c>
      <c r="BP4">
        <v>95.76</v>
      </c>
      <c r="BQ4">
        <v>2.036</v>
      </c>
      <c r="BR4">
        <v>186.5</v>
      </c>
    </row>
    <row r="5" spans="1:70" x14ac:dyDescent="0.25">
      <c r="A5" s="13">
        <v>100</v>
      </c>
      <c r="B5">
        <v>39</v>
      </c>
      <c r="C5">
        <v>1300</v>
      </c>
      <c r="D5">
        <v>226.4</v>
      </c>
      <c r="E5">
        <v>5.742</v>
      </c>
      <c r="F5">
        <v>320.5</v>
      </c>
      <c r="I5">
        <v>90</v>
      </c>
      <c r="J5">
        <v>39</v>
      </c>
      <c r="K5">
        <v>1170</v>
      </c>
      <c r="L5">
        <v>200.4</v>
      </c>
      <c r="M5">
        <v>5.8390000000000004</v>
      </c>
      <c r="N5">
        <v>287.5</v>
      </c>
      <c r="P5">
        <v>80</v>
      </c>
      <c r="Q5">
        <v>39</v>
      </c>
      <c r="R5">
        <v>1040</v>
      </c>
      <c r="S5">
        <v>175.8</v>
      </c>
      <c r="T5">
        <v>5.9180000000000001</v>
      </c>
      <c r="U5">
        <v>262.5</v>
      </c>
      <c r="W5">
        <v>70</v>
      </c>
      <c r="X5">
        <v>39</v>
      </c>
      <c r="Y5">
        <v>910.2</v>
      </c>
      <c r="Z5">
        <v>153.19999999999999</v>
      </c>
      <c r="AA5">
        <v>5.9420000000000002</v>
      </c>
      <c r="AB5">
        <v>240.5</v>
      </c>
      <c r="AD5">
        <v>60</v>
      </c>
      <c r="AE5">
        <v>39</v>
      </c>
      <c r="AF5">
        <v>780</v>
      </c>
      <c r="AG5">
        <v>132.4</v>
      </c>
      <c r="AH5">
        <v>5.891</v>
      </c>
      <c r="AI5">
        <v>217.5</v>
      </c>
      <c r="AK5">
        <v>50</v>
      </c>
      <c r="AL5">
        <v>39</v>
      </c>
      <c r="AM5">
        <v>649.9</v>
      </c>
      <c r="AN5">
        <v>113.6</v>
      </c>
      <c r="AO5">
        <v>5.7210000000000001</v>
      </c>
      <c r="AP5">
        <v>197.5</v>
      </c>
      <c r="AR5">
        <v>40</v>
      </c>
      <c r="AS5">
        <v>39</v>
      </c>
      <c r="AT5">
        <v>520.1</v>
      </c>
      <c r="AU5">
        <v>97.23</v>
      </c>
      <c r="AV5">
        <v>5.3479999999999999</v>
      </c>
      <c r="AW5">
        <v>180.5</v>
      </c>
      <c r="AY5">
        <v>30</v>
      </c>
      <c r="AZ5">
        <v>39</v>
      </c>
      <c r="BA5">
        <v>390</v>
      </c>
      <c r="BB5">
        <v>83.01</v>
      </c>
      <c r="BC5">
        <v>4.6980000000000004</v>
      </c>
      <c r="BD5">
        <v>165.5</v>
      </c>
      <c r="BF5">
        <v>20</v>
      </c>
      <c r="BG5">
        <v>39</v>
      </c>
      <c r="BH5">
        <v>260</v>
      </c>
      <c r="BI5">
        <v>76.03</v>
      </c>
      <c r="BJ5">
        <v>3.4209999999999998</v>
      </c>
      <c r="BK5">
        <v>159.5</v>
      </c>
      <c r="BM5">
        <v>15</v>
      </c>
      <c r="BN5">
        <v>39</v>
      </c>
      <c r="BO5">
        <v>195</v>
      </c>
      <c r="BP5">
        <v>76.900000000000006</v>
      </c>
      <c r="BQ5">
        <v>2.536</v>
      </c>
      <c r="BR5">
        <v>162.5</v>
      </c>
    </row>
    <row r="6" spans="1:70" x14ac:dyDescent="0.25">
      <c r="A6" s="13">
        <v>100</v>
      </c>
      <c r="B6">
        <v>36</v>
      </c>
      <c r="C6">
        <v>1300</v>
      </c>
      <c r="D6">
        <v>199.4</v>
      </c>
      <c r="E6">
        <v>6.52</v>
      </c>
      <c r="F6">
        <v>287.5</v>
      </c>
      <c r="I6">
        <v>90</v>
      </c>
      <c r="J6">
        <v>36</v>
      </c>
      <c r="K6">
        <v>1170</v>
      </c>
      <c r="L6">
        <v>175.1</v>
      </c>
      <c r="M6">
        <v>6.6820000000000004</v>
      </c>
      <c r="N6">
        <v>261.5</v>
      </c>
      <c r="P6">
        <v>80</v>
      </c>
      <c r="Q6">
        <v>36</v>
      </c>
      <c r="R6">
        <v>1040</v>
      </c>
      <c r="S6">
        <v>152.69999999999999</v>
      </c>
      <c r="T6">
        <v>6.8090000000000002</v>
      </c>
      <c r="U6">
        <v>235.5</v>
      </c>
      <c r="W6">
        <v>70</v>
      </c>
      <c r="X6">
        <v>36</v>
      </c>
      <c r="Y6">
        <v>910.2</v>
      </c>
      <c r="Z6">
        <v>132</v>
      </c>
      <c r="AA6">
        <v>6.8920000000000003</v>
      </c>
      <c r="AB6">
        <v>214.5</v>
      </c>
      <c r="AD6">
        <v>60</v>
      </c>
      <c r="AE6">
        <v>36</v>
      </c>
      <c r="AF6">
        <v>780</v>
      </c>
      <c r="AG6">
        <v>113.4</v>
      </c>
      <c r="AH6">
        <v>6.8760000000000003</v>
      </c>
      <c r="AI6">
        <v>195.5</v>
      </c>
      <c r="AK6">
        <v>50</v>
      </c>
      <c r="AL6">
        <v>36</v>
      </c>
      <c r="AM6">
        <v>649.9</v>
      </c>
      <c r="AN6">
        <v>96.31</v>
      </c>
      <c r="AO6">
        <v>6.7489999999999997</v>
      </c>
      <c r="AP6">
        <v>177.5</v>
      </c>
      <c r="AR6">
        <v>40</v>
      </c>
      <c r="AS6">
        <v>36</v>
      </c>
      <c r="AT6">
        <v>520.1</v>
      </c>
      <c r="AU6">
        <v>80.62</v>
      </c>
      <c r="AV6">
        <v>6.45</v>
      </c>
      <c r="AW6">
        <v>160.5</v>
      </c>
      <c r="AY6">
        <v>30</v>
      </c>
      <c r="AZ6">
        <v>36</v>
      </c>
      <c r="BA6">
        <v>390</v>
      </c>
      <c r="BB6">
        <v>67.650000000000006</v>
      </c>
      <c r="BC6">
        <v>5.766</v>
      </c>
      <c r="BD6">
        <v>145.5</v>
      </c>
      <c r="BF6">
        <v>20</v>
      </c>
      <c r="BG6">
        <v>36</v>
      </c>
      <c r="BH6">
        <v>260</v>
      </c>
      <c r="BI6">
        <v>58.84</v>
      </c>
      <c r="BJ6">
        <v>4.4189999999999996</v>
      </c>
      <c r="BK6">
        <v>137.5</v>
      </c>
      <c r="BM6">
        <v>15</v>
      </c>
      <c r="BN6">
        <v>36</v>
      </c>
      <c r="BO6">
        <v>195</v>
      </c>
      <c r="BP6">
        <v>60.63</v>
      </c>
      <c r="BQ6">
        <v>3.218</v>
      </c>
      <c r="BR6">
        <v>141.5</v>
      </c>
    </row>
    <row r="7" spans="1:70" x14ac:dyDescent="0.25">
      <c r="A7" s="13">
        <v>100</v>
      </c>
      <c r="B7">
        <v>34</v>
      </c>
      <c r="C7">
        <v>1300</v>
      </c>
      <c r="D7">
        <v>182.9</v>
      </c>
      <c r="E7">
        <v>7.1059999999999999</v>
      </c>
      <c r="F7">
        <v>266.5</v>
      </c>
      <c r="I7">
        <v>90</v>
      </c>
      <c r="J7">
        <v>34</v>
      </c>
      <c r="K7">
        <v>1170</v>
      </c>
      <c r="L7">
        <v>159.9</v>
      </c>
      <c r="M7">
        <v>7.3179999999999996</v>
      </c>
      <c r="N7">
        <v>243.5</v>
      </c>
      <c r="P7">
        <v>80</v>
      </c>
      <c r="Q7">
        <v>34</v>
      </c>
      <c r="R7">
        <v>1040</v>
      </c>
      <c r="S7">
        <v>138.80000000000001</v>
      </c>
      <c r="T7">
        <v>7.4939999999999998</v>
      </c>
      <c r="U7">
        <v>221.5</v>
      </c>
      <c r="W7">
        <v>70</v>
      </c>
      <c r="X7">
        <v>34</v>
      </c>
      <c r="Y7">
        <v>910.2</v>
      </c>
      <c r="Z7">
        <v>119.3</v>
      </c>
      <c r="AA7">
        <v>7.6289999999999996</v>
      </c>
      <c r="AB7">
        <v>201.5</v>
      </c>
      <c r="AD7">
        <v>60</v>
      </c>
      <c r="AE7">
        <v>34</v>
      </c>
      <c r="AF7">
        <v>780</v>
      </c>
      <c r="AG7">
        <v>101.7</v>
      </c>
      <c r="AH7">
        <v>7.6719999999999997</v>
      </c>
      <c r="AI7">
        <v>181.5</v>
      </c>
      <c r="AK7">
        <v>50</v>
      </c>
      <c r="AL7">
        <v>34</v>
      </c>
      <c r="AM7">
        <v>649.9</v>
      </c>
      <c r="AN7">
        <v>85.43</v>
      </c>
      <c r="AO7">
        <v>7.609</v>
      </c>
      <c r="AP7">
        <v>164.5</v>
      </c>
      <c r="AR7">
        <v>40</v>
      </c>
      <c r="AS7">
        <v>34</v>
      </c>
      <c r="AT7">
        <v>520.1</v>
      </c>
      <c r="AU7">
        <v>70.19</v>
      </c>
      <c r="AV7">
        <v>7.4089999999999998</v>
      </c>
      <c r="AW7">
        <v>149.5</v>
      </c>
      <c r="AY7">
        <v>30</v>
      </c>
      <c r="AZ7">
        <v>34</v>
      </c>
      <c r="BA7">
        <v>390</v>
      </c>
      <c r="BB7">
        <v>57.46</v>
      </c>
      <c r="BC7">
        <v>6.7869999999999999</v>
      </c>
      <c r="BD7">
        <v>135.5</v>
      </c>
      <c r="BF7">
        <v>20</v>
      </c>
      <c r="BG7">
        <v>34</v>
      </c>
      <c r="BH7">
        <v>260</v>
      </c>
      <c r="BI7">
        <v>48.49</v>
      </c>
      <c r="BJ7">
        <v>5.3620000000000001</v>
      </c>
      <c r="BK7">
        <v>125.5</v>
      </c>
      <c r="BM7">
        <v>15</v>
      </c>
      <c r="BN7">
        <v>34</v>
      </c>
      <c r="BO7">
        <v>195</v>
      </c>
      <c r="BP7">
        <v>47.09</v>
      </c>
      <c r="BQ7">
        <v>4.1420000000000003</v>
      </c>
      <c r="BR7">
        <v>125.5</v>
      </c>
    </row>
    <row r="8" spans="1:70" x14ac:dyDescent="0.25">
      <c r="A8" s="13">
        <v>100</v>
      </c>
      <c r="B8">
        <v>31</v>
      </c>
      <c r="C8">
        <v>1300</v>
      </c>
      <c r="D8">
        <v>159.9</v>
      </c>
      <c r="E8">
        <v>8.1280000000000001</v>
      </c>
      <c r="F8">
        <v>241.5</v>
      </c>
      <c r="I8">
        <v>90</v>
      </c>
      <c r="J8">
        <v>31</v>
      </c>
      <c r="K8">
        <v>1170</v>
      </c>
      <c r="L8">
        <v>138.80000000000001</v>
      </c>
      <c r="M8">
        <v>8.43</v>
      </c>
      <c r="N8">
        <v>216.5</v>
      </c>
      <c r="P8">
        <v>80</v>
      </c>
      <c r="Q8">
        <v>31</v>
      </c>
      <c r="R8">
        <v>1040</v>
      </c>
      <c r="S8">
        <v>119.6</v>
      </c>
      <c r="T8">
        <v>8.6950000000000003</v>
      </c>
      <c r="U8">
        <v>197.5</v>
      </c>
      <c r="W8">
        <v>70</v>
      </c>
      <c r="X8">
        <v>31</v>
      </c>
      <c r="Y8">
        <v>910.2</v>
      </c>
      <c r="Z8">
        <v>101.7</v>
      </c>
      <c r="AA8">
        <v>8.9469999999999992</v>
      </c>
      <c r="AB8">
        <v>179.5</v>
      </c>
      <c r="AD8">
        <v>60</v>
      </c>
      <c r="AE8">
        <v>31</v>
      </c>
      <c r="AF8">
        <v>780</v>
      </c>
      <c r="AG8">
        <v>85.76</v>
      </c>
      <c r="AH8">
        <v>9.0950000000000006</v>
      </c>
      <c r="AI8">
        <v>163.5</v>
      </c>
      <c r="AK8">
        <v>50</v>
      </c>
      <c r="AL8">
        <v>31</v>
      </c>
      <c r="AM8">
        <v>649.9</v>
      </c>
      <c r="AN8">
        <v>71.459999999999994</v>
      </c>
      <c r="AO8">
        <v>9.0950000000000006</v>
      </c>
      <c r="AP8">
        <v>149.5</v>
      </c>
      <c r="AR8">
        <v>40</v>
      </c>
      <c r="AS8">
        <v>31</v>
      </c>
      <c r="AT8">
        <v>520.1</v>
      </c>
      <c r="AU8">
        <v>58.39</v>
      </c>
      <c r="AV8">
        <v>8.9060000000000006</v>
      </c>
      <c r="AW8">
        <v>135.5</v>
      </c>
      <c r="AY8">
        <v>30</v>
      </c>
      <c r="AZ8">
        <v>31</v>
      </c>
      <c r="BA8">
        <v>390</v>
      </c>
      <c r="BB8">
        <v>47.15</v>
      </c>
      <c r="BC8">
        <v>8.2729999999999997</v>
      </c>
      <c r="BD8">
        <v>124.5</v>
      </c>
      <c r="BF8">
        <v>20</v>
      </c>
      <c r="BG8">
        <v>31</v>
      </c>
      <c r="BH8">
        <v>260</v>
      </c>
      <c r="BI8">
        <v>37.56</v>
      </c>
      <c r="BJ8">
        <v>6.923</v>
      </c>
      <c r="BK8">
        <v>113.5</v>
      </c>
      <c r="BM8">
        <v>15</v>
      </c>
      <c r="BN8">
        <v>31</v>
      </c>
      <c r="BO8">
        <v>195</v>
      </c>
      <c r="BP8">
        <v>33.869999999999997</v>
      </c>
      <c r="BQ8">
        <v>5.7569999999999997</v>
      </c>
      <c r="BR8">
        <v>109.5</v>
      </c>
    </row>
    <row r="9" spans="1:70" x14ac:dyDescent="0.25">
      <c r="A9" s="13">
        <v>100</v>
      </c>
      <c r="B9">
        <v>28</v>
      </c>
      <c r="C9">
        <v>1300</v>
      </c>
      <c r="D9">
        <v>138.69999999999999</v>
      </c>
      <c r="E9">
        <v>9.3740000000000006</v>
      </c>
      <c r="F9">
        <v>216.5</v>
      </c>
      <c r="I9">
        <v>90</v>
      </c>
      <c r="J9">
        <v>28</v>
      </c>
      <c r="K9">
        <v>1170</v>
      </c>
      <c r="L9">
        <v>119.3</v>
      </c>
      <c r="M9">
        <v>9.81</v>
      </c>
      <c r="N9">
        <v>196.5</v>
      </c>
      <c r="P9">
        <v>80</v>
      </c>
      <c r="Q9">
        <v>28</v>
      </c>
      <c r="R9">
        <v>1040</v>
      </c>
      <c r="S9">
        <v>102</v>
      </c>
      <c r="T9">
        <v>10.19</v>
      </c>
      <c r="U9">
        <v>178.5</v>
      </c>
      <c r="W9">
        <v>70</v>
      </c>
      <c r="X9">
        <v>28</v>
      </c>
      <c r="Y9">
        <v>910.2</v>
      </c>
      <c r="Z9">
        <v>86.1</v>
      </c>
      <c r="AA9">
        <v>10.57</v>
      </c>
      <c r="AB9">
        <v>161.5</v>
      </c>
      <c r="AD9">
        <v>60</v>
      </c>
      <c r="AE9">
        <v>28</v>
      </c>
      <c r="AF9">
        <v>780</v>
      </c>
      <c r="AG9">
        <v>71.63</v>
      </c>
      <c r="AH9">
        <v>10.89</v>
      </c>
      <c r="AI9">
        <v>147.5</v>
      </c>
      <c r="AK9">
        <v>50</v>
      </c>
      <c r="AL9">
        <v>28</v>
      </c>
      <c r="AM9">
        <v>649.9</v>
      </c>
      <c r="AN9">
        <v>59.02</v>
      </c>
      <c r="AO9">
        <v>11.01</v>
      </c>
      <c r="AP9">
        <v>134.5</v>
      </c>
      <c r="AR9">
        <v>40</v>
      </c>
      <c r="AS9">
        <v>28</v>
      </c>
      <c r="AT9">
        <v>520.1</v>
      </c>
      <c r="AU9">
        <v>47.59</v>
      </c>
      <c r="AV9">
        <v>10.93</v>
      </c>
      <c r="AW9">
        <v>122.5</v>
      </c>
      <c r="AY9">
        <v>30</v>
      </c>
      <c r="AZ9">
        <v>28</v>
      </c>
      <c r="BA9">
        <v>390</v>
      </c>
      <c r="BB9">
        <v>37.39</v>
      </c>
      <c r="BC9">
        <v>10.43</v>
      </c>
      <c r="BD9">
        <v>111.5</v>
      </c>
      <c r="BF9">
        <v>20</v>
      </c>
      <c r="BG9">
        <v>28</v>
      </c>
      <c r="BH9">
        <v>260</v>
      </c>
      <c r="BI9">
        <v>28.52</v>
      </c>
      <c r="BJ9">
        <v>9.1159999999999997</v>
      </c>
      <c r="BK9">
        <v>103.5</v>
      </c>
      <c r="BM9">
        <v>15</v>
      </c>
      <c r="BN9">
        <v>28</v>
      </c>
      <c r="BO9">
        <v>195</v>
      </c>
      <c r="BP9">
        <v>24.84</v>
      </c>
      <c r="BQ9">
        <v>7.8520000000000003</v>
      </c>
      <c r="BR9">
        <v>99.5</v>
      </c>
    </row>
    <row r="10" spans="1:70" x14ac:dyDescent="0.25">
      <c r="A10" s="13">
        <v>100</v>
      </c>
      <c r="B10">
        <v>25</v>
      </c>
      <c r="C10">
        <v>1300</v>
      </c>
      <c r="D10">
        <v>119</v>
      </c>
      <c r="E10">
        <v>10.92</v>
      </c>
      <c r="F10">
        <v>194.5</v>
      </c>
      <c r="I10">
        <v>90</v>
      </c>
      <c r="J10">
        <v>25</v>
      </c>
      <c r="K10">
        <v>1170</v>
      </c>
      <c r="L10">
        <v>101.6</v>
      </c>
      <c r="M10">
        <v>11.52</v>
      </c>
      <c r="N10">
        <v>176.5</v>
      </c>
      <c r="P10">
        <v>80</v>
      </c>
      <c r="Q10">
        <v>25</v>
      </c>
      <c r="R10">
        <v>1040</v>
      </c>
      <c r="S10">
        <v>85.89</v>
      </c>
      <c r="T10">
        <v>12.11</v>
      </c>
      <c r="U10">
        <v>159.5</v>
      </c>
      <c r="W10">
        <v>70</v>
      </c>
      <c r="X10">
        <v>25</v>
      </c>
      <c r="Y10">
        <v>910.2</v>
      </c>
      <c r="Z10">
        <v>71.7</v>
      </c>
      <c r="AA10">
        <v>12.69</v>
      </c>
      <c r="AB10">
        <v>144.5</v>
      </c>
      <c r="AD10">
        <v>60</v>
      </c>
      <c r="AE10">
        <v>25</v>
      </c>
      <c r="AF10">
        <v>780</v>
      </c>
      <c r="AG10">
        <v>58.88</v>
      </c>
      <c r="AH10">
        <v>13.25</v>
      </c>
      <c r="AI10">
        <v>131.5</v>
      </c>
      <c r="AK10">
        <v>50</v>
      </c>
      <c r="AL10">
        <v>25</v>
      </c>
      <c r="AM10">
        <v>649.9</v>
      </c>
      <c r="AN10">
        <v>47.63</v>
      </c>
      <c r="AO10">
        <v>13.65</v>
      </c>
      <c r="AP10">
        <v>120.5</v>
      </c>
      <c r="AR10">
        <v>40</v>
      </c>
      <c r="AS10">
        <v>25</v>
      </c>
      <c r="AT10">
        <v>520.1</v>
      </c>
      <c r="AU10">
        <v>37.57</v>
      </c>
      <c r="AV10">
        <v>13.84</v>
      </c>
      <c r="AW10">
        <v>109.5</v>
      </c>
      <c r="AY10">
        <v>30</v>
      </c>
      <c r="AZ10">
        <v>25</v>
      </c>
      <c r="BA10">
        <v>390</v>
      </c>
      <c r="BB10">
        <v>28.9</v>
      </c>
      <c r="BC10">
        <v>13.5</v>
      </c>
      <c r="BD10">
        <v>100.5</v>
      </c>
      <c r="BF10">
        <v>20</v>
      </c>
      <c r="BG10">
        <v>25</v>
      </c>
      <c r="BH10">
        <v>260</v>
      </c>
      <c r="BI10">
        <v>21.11</v>
      </c>
      <c r="BJ10">
        <v>12.32</v>
      </c>
      <c r="BK10">
        <v>93.5</v>
      </c>
      <c r="BM10">
        <v>15</v>
      </c>
      <c r="BN10">
        <v>25</v>
      </c>
      <c r="BO10">
        <v>195</v>
      </c>
      <c r="BP10">
        <v>17.739999999999998</v>
      </c>
      <c r="BQ10">
        <v>10.99</v>
      </c>
      <c r="BR10">
        <v>90.5</v>
      </c>
    </row>
    <row r="11" spans="1:70" x14ac:dyDescent="0.25">
      <c r="A11" s="13">
        <v>100</v>
      </c>
      <c r="B11">
        <v>23</v>
      </c>
      <c r="C11">
        <v>1300</v>
      </c>
      <c r="D11">
        <v>106.7</v>
      </c>
      <c r="E11">
        <v>12.19</v>
      </c>
      <c r="F11">
        <v>178.5</v>
      </c>
      <c r="I11">
        <v>90</v>
      </c>
      <c r="J11">
        <v>23</v>
      </c>
      <c r="K11">
        <v>1170</v>
      </c>
      <c r="L11">
        <v>90.23</v>
      </c>
      <c r="M11">
        <v>12.97</v>
      </c>
      <c r="N11">
        <v>161.5</v>
      </c>
      <c r="P11">
        <v>80</v>
      </c>
      <c r="Q11">
        <v>23</v>
      </c>
      <c r="R11">
        <v>1040</v>
      </c>
      <c r="S11">
        <v>75.89</v>
      </c>
      <c r="T11">
        <v>13.71</v>
      </c>
      <c r="U11">
        <v>147.5</v>
      </c>
      <c r="W11">
        <v>70</v>
      </c>
      <c r="X11">
        <v>23</v>
      </c>
      <c r="Y11">
        <v>910.2</v>
      </c>
      <c r="Z11">
        <v>62.73</v>
      </c>
      <c r="AA11">
        <v>14.51</v>
      </c>
      <c r="AB11">
        <v>133.5</v>
      </c>
      <c r="AD11">
        <v>60</v>
      </c>
      <c r="AE11">
        <v>23</v>
      </c>
      <c r="AF11">
        <v>780</v>
      </c>
      <c r="AG11">
        <v>50.93</v>
      </c>
      <c r="AH11">
        <v>15.32</v>
      </c>
      <c r="AI11">
        <v>122.5</v>
      </c>
      <c r="AK11">
        <v>50</v>
      </c>
      <c r="AL11">
        <v>23</v>
      </c>
      <c r="AM11">
        <v>649.9</v>
      </c>
      <c r="AN11">
        <v>40.450000000000003</v>
      </c>
      <c r="AO11">
        <v>16.07</v>
      </c>
      <c r="AP11">
        <v>112.5</v>
      </c>
      <c r="AR11">
        <v>40</v>
      </c>
      <c r="AS11">
        <v>23</v>
      </c>
      <c r="AT11">
        <v>520.1</v>
      </c>
      <c r="AU11">
        <v>31.18</v>
      </c>
      <c r="AV11">
        <v>16.68</v>
      </c>
      <c r="AW11">
        <v>101.5</v>
      </c>
      <c r="AY11">
        <v>30</v>
      </c>
      <c r="AZ11">
        <v>23</v>
      </c>
      <c r="BA11">
        <v>390</v>
      </c>
      <c r="BB11">
        <v>23.21</v>
      </c>
      <c r="BC11">
        <v>16.8</v>
      </c>
      <c r="BD11">
        <v>95.5</v>
      </c>
      <c r="BF11">
        <v>20</v>
      </c>
      <c r="BG11">
        <v>23</v>
      </c>
      <c r="BH11">
        <v>260</v>
      </c>
      <c r="BI11">
        <v>17.14</v>
      </c>
      <c r="BJ11">
        <v>15.17</v>
      </c>
      <c r="BK11">
        <v>90.5</v>
      </c>
      <c r="BM11">
        <v>15</v>
      </c>
      <c r="BN11">
        <v>23</v>
      </c>
      <c r="BO11">
        <v>195</v>
      </c>
      <c r="BP11">
        <v>14.87</v>
      </c>
      <c r="BQ11">
        <v>13.11</v>
      </c>
      <c r="BR11">
        <v>88.5</v>
      </c>
    </row>
    <row r="12" spans="1:70" x14ac:dyDescent="0.25">
      <c r="A12" s="13">
        <v>100</v>
      </c>
      <c r="B12">
        <v>20</v>
      </c>
      <c r="C12">
        <v>1300</v>
      </c>
      <c r="D12">
        <v>89.2</v>
      </c>
      <c r="E12">
        <v>14.58</v>
      </c>
      <c r="F12">
        <v>159.5</v>
      </c>
      <c r="I12">
        <v>90</v>
      </c>
      <c r="J12">
        <v>20</v>
      </c>
      <c r="K12">
        <v>1170</v>
      </c>
      <c r="L12">
        <v>74.849999999999994</v>
      </c>
      <c r="M12">
        <v>15.63</v>
      </c>
      <c r="N12">
        <v>143.5</v>
      </c>
      <c r="P12">
        <v>80</v>
      </c>
      <c r="Q12">
        <v>20</v>
      </c>
      <c r="R12">
        <v>1040</v>
      </c>
      <c r="S12">
        <v>61.84</v>
      </c>
      <c r="T12">
        <v>16.82</v>
      </c>
      <c r="U12">
        <v>129.5</v>
      </c>
      <c r="W12">
        <v>70</v>
      </c>
      <c r="X12">
        <v>20</v>
      </c>
      <c r="Y12">
        <v>910.2</v>
      </c>
      <c r="Z12">
        <v>49.83</v>
      </c>
      <c r="AA12">
        <v>18.260000000000002</v>
      </c>
      <c r="AB12">
        <v>117.5</v>
      </c>
      <c r="AD12">
        <v>60</v>
      </c>
      <c r="AE12">
        <v>20</v>
      </c>
      <c r="AF12">
        <v>780</v>
      </c>
      <c r="AG12">
        <v>39.450000000000003</v>
      </c>
      <c r="AH12">
        <v>19.77</v>
      </c>
      <c r="AI12">
        <v>108.5</v>
      </c>
      <c r="AK12">
        <v>50</v>
      </c>
      <c r="AL12">
        <v>20</v>
      </c>
      <c r="AM12">
        <v>649.9</v>
      </c>
      <c r="AN12">
        <v>30.34</v>
      </c>
      <c r="AO12">
        <v>21.42</v>
      </c>
      <c r="AP12">
        <v>99.5</v>
      </c>
      <c r="AR12">
        <v>40</v>
      </c>
      <c r="AS12">
        <v>20</v>
      </c>
      <c r="AT12">
        <v>520.1</v>
      </c>
      <c r="AU12">
        <v>23.17</v>
      </c>
      <c r="AV12">
        <v>22.44</v>
      </c>
      <c r="AW12">
        <v>94.5</v>
      </c>
      <c r="AY12">
        <v>30</v>
      </c>
      <c r="AZ12">
        <v>20</v>
      </c>
      <c r="BA12">
        <v>390</v>
      </c>
      <c r="BB12">
        <v>18.559999999999999</v>
      </c>
      <c r="BC12">
        <v>21.01</v>
      </c>
      <c r="BD12">
        <v>92.5</v>
      </c>
      <c r="BF12">
        <v>20</v>
      </c>
      <c r="BG12">
        <v>20</v>
      </c>
      <c r="BH12">
        <v>260</v>
      </c>
      <c r="BI12">
        <v>15.32</v>
      </c>
      <c r="BJ12">
        <v>16.97</v>
      </c>
      <c r="BK12">
        <v>89.5</v>
      </c>
      <c r="BM12">
        <v>15</v>
      </c>
      <c r="BN12">
        <v>20</v>
      </c>
      <c r="BO12">
        <v>195</v>
      </c>
      <c r="BP12">
        <v>13.69</v>
      </c>
      <c r="BQ12">
        <v>14.25</v>
      </c>
      <c r="BR12">
        <v>87.5</v>
      </c>
    </row>
    <row r="13" spans="1:70" x14ac:dyDescent="0.25">
      <c r="A13" s="13">
        <v>100</v>
      </c>
      <c r="B13">
        <v>17</v>
      </c>
      <c r="C13">
        <v>1300</v>
      </c>
      <c r="D13">
        <v>74.069999999999993</v>
      </c>
      <c r="E13">
        <v>17.55</v>
      </c>
      <c r="F13">
        <v>145.5</v>
      </c>
      <c r="I13">
        <v>90</v>
      </c>
      <c r="J13">
        <v>17</v>
      </c>
      <c r="K13">
        <v>1170</v>
      </c>
      <c r="L13">
        <v>60.49</v>
      </c>
      <c r="M13">
        <v>19.350000000000001</v>
      </c>
      <c r="N13">
        <v>127.5</v>
      </c>
      <c r="P13">
        <v>80</v>
      </c>
      <c r="Q13">
        <v>17</v>
      </c>
      <c r="R13">
        <v>1040</v>
      </c>
      <c r="S13">
        <v>48.05</v>
      </c>
      <c r="T13">
        <v>21.64</v>
      </c>
      <c r="U13">
        <v>115.5</v>
      </c>
      <c r="W13">
        <v>70</v>
      </c>
      <c r="X13">
        <v>17</v>
      </c>
      <c r="Y13">
        <v>910.2</v>
      </c>
      <c r="Z13">
        <v>38.15</v>
      </c>
      <c r="AA13">
        <v>23.86</v>
      </c>
      <c r="AB13">
        <v>106.5</v>
      </c>
      <c r="AD13">
        <v>60</v>
      </c>
      <c r="AE13">
        <v>17</v>
      </c>
      <c r="AF13">
        <v>780</v>
      </c>
      <c r="AG13">
        <v>29.86</v>
      </c>
      <c r="AH13">
        <v>26.13</v>
      </c>
      <c r="AI13">
        <v>100.5</v>
      </c>
      <c r="AK13">
        <v>50</v>
      </c>
      <c r="AL13">
        <v>17</v>
      </c>
      <c r="AM13">
        <v>649.9</v>
      </c>
      <c r="AN13">
        <v>23.88</v>
      </c>
      <c r="AO13">
        <v>27.22</v>
      </c>
      <c r="AP13">
        <v>96.5</v>
      </c>
      <c r="AR13">
        <v>40</v>
      </c>
      <c r="AS13">
        <v>17</v>
      </c>
      <c r="AT13">
        <v>520.1</v>
      </c>
      <c r="AU13">
        <v>19.96</v>
      </c>
      <c r="AV13">
        <v>26.05</v>
      </c>
      <c r="AW13">
        <v>93.5</v>
      </c>
      <c r="AY13">
        <v>30</v>
      </c>
      <c r="AZ13">
        <v>17</v>
      </c>
      <c r="BA13">
        <v>390</v>
      </c>
      <c r="BB13">
        <v>17.41</v>
      </c>
      <c r="BC13">
        <v>22.4</v>
      </c>
      <c r="BD13">
        <v>92.5</v>
      </c>
      <c r="BF13">
        <v>20</v>
      </c>
      <c r="BG13">
        <v>17</v>
      </c>
      <c r="BH13">
        <v>260</v>
      </c>
      <c r="BI13">
        <v>14.66</v>
      </c>
      <c r="BJ13">
        <v>17.739999999999998</v>
      </c>
      <c r="BK13">
        <v>89.5</v>
      </c>
      <c r="BM13">
        <v>15</v>
      </c>
      <c r="BN13">
        <v>17</v>
      </c>
      <c r="BO13">
        <v>195</v>
      </c>
      <c r="BP13">
        <v>13.44</v>
      </c>
      <c r="BQ13">
        <v>14.52</v>
      </c>
      <c r="BR13">
        <v>87.5</v>
      </c>
    </row>
    <row r="14" spans="1:70" x14ac:dyDescent="0.25">
      <c r="A14" s="13">
        <v>100</v>
      </c>
      <c r="B14">
        <v>14</v>
      </c>
      <c r="C14">
        <v>1300</v>
      </c>
      <c r="D14">
        <v>61.65</v>
      </c>
      <c r="E14">
        <v>21.09</v>
      </c>
      <c r="F14">
        <v>133.5</v>
      </c>
      <c r="I14">
        <v>90</v>
      </c>
      <c r="J14">
        <v>14</v>
      </c>
      <c r="K14">
        <v>1170</v>
      </c>
      <c r="L14">
        <v>48.81</v>
      </c>
      <c r="M14">
        <v>23.97</v>
      </c>
      <c r="N14">
        <v>120.5</v>
      </c>
      <c r="P14">
        <v>80</v>
      </c>
      <c r="Q14">
        <v>14</v>
      </c>
      <c r="R14">
        <v>1040</v>
      </c>
      <c r="S14">
        <v>38.97</v>
      </c>
      <c r="T14">
        <v>26.68</v>
      </c>
      <c r="U14">
        <v>111.5</v>
      </c>
      <c r="W14">
        <v>70</v>
      </c>
      <c r="X14">
        <v>14</v>
      </c>
      <c r="Y14">
        <v>910.2</v>
      </c>
      <c r="Z14">
        <v>31.2</v>
      </c>
      <c r="AA14">
        <v>29.16</v>
      </c>
      <c r="AB14">
        <v>103.5</v>
      </c>
      <c r="AD14">
        <v>60</v>
      </c>
      <c r="AE14">
        <v>14</v>
      </c>
      <c r="AF14">
        <v>780</v>
      </c>
      <c r="AG14">
        <v>24.65</v>
      </c>
      <c r="AH14">
        <v>31.63</v>
      </c>
      <c r="AI14">
        <v>98.5</v>
      </c>
      <c r="AK14">
        <v>50</v>
      </c>
      <c r="AL14">
        <v>14</v>
      </c>
      <c r="AM14">
        <v>649.9</v>
      </c>
      <c r="AN14">
        <v>20.93</v>
      </c>
      <c r="AO14">
        <v>31.07</v>
      </c>
      <c r="AP14">
        <v>94.5</v>
      </c>
      <c r="AR14">
        <v>40</v>
      </c>
      <c r="AS14">
        <v>14</v>
      </c>
      <c r="AT14">
        <v>520.1</v>
      </c>
      <c r="AU14">
        <v>18.690000000000001</v>
      </c>
      <c r="AV14">
        <v>27.82</v>
      </c>
      <c r="AW14">
        <v>93.5</v>
      </c>
      <c r="AY14">
        <v>30</v>
      </c>
      <c r="AZ14">
        <v>14</v>
      </c>
      <c r="BA14">
        <v>390</v>
      </c>
      <c r="BB14">
        <v>16.940000000000001</v>
      </c>
      <c r="BC14">
        <v>23.03</v>
      </c>
      <c r="BD14">
        <v>92.5</v>
      </c>
      <c r="BF14">
        <v>20</v>
      </c>
      <c r="BG14">
        <v>14</v>
      </c>
      <c r="BH14">
        <v>260</v>
      </c>
      <c r="BI14">
        <v>14.45</v>
      </c>
      <c r="BJ14">
        <v>17.989999999999998</v>
      </c>
      <c r="BK14">
        <v>89.5</v>
      </c>
      <c r="BM14">
        <v>15</v>
      </c>
      <c r="BN14">
        <v>14</v>
      </c>
      <c r="BO14">
        <v>195</v>
      </c>
      <c r="BP14">
        <v>13.31</v>
      </c>
      <c r="BQ14">
        <v>14.65</v>
      </c>
      <c r="BR14">
        <v>87.5</v>
      </c>
    </row>
    <row r="15" spans="1:70" x14ac:dyDescent="0.25">
      <c r="A15" s="13">
        <v>100</v>
      </c>
      <c r="B15">
        <v>11</v>
      </c>
      <c r="C15">
        <v>1300</v>
      </c>
      <c r="D15">
        <v>53.13</v>
      </c>
      <c r="E15">
        <v>24.47</v>
      </c>
      <c r="F15">
        <v>128.5</v>
      </c>
      <c r="I15">
        <v>90</v>
      </c>
      <c r="J15">
        <v>11</v>
      </c>
      <c r="K15">
        <v>1170</v>
      </c>
      <c r="L15">
        <v>41.62</v>
      </c>
      <c r="M15">
        <v>28.11</v>
      </c>
      <c r="N15">
        <v>116.5</v>
      </c>
      <c r="P15">
        <v>80</v>
      </c>
      <c r="Q15">
        <v>11</v>
      </c>
      <c r="R15">
        <v>1040</v>
      </c>
      <c r="S15">
        <v>33.68</v>
      </c>
      <c r="T15">
        <v>30.88</v>
      </c>
      <c r="U15">
        <v>108.5</v>
      </c>
      <c r="W15">
        <v>70</v>
      </c>
      <c r="X15">
        <v>11</v>
      </c>
      <c r="Y15">
        <v>910.2</v>
      </c>
      <c r="Z15">
        <v>27.25</v>
      </c>
      <c r="AA15">
        <v>33.4</v>
      </c>
      <c r="AB15">
        <v>101.5</v>
      </c>
      <c r="AD15">
        <v>60</v>
      </c>
      <c r="AE15">
        <v>11</v>
      </c>
      <c r="AF15">
        <v>780</v>
      </c>
      <c r="AG15">
        <v>22.18</v>
      </c>
      <c r="AH15">
        <v>35.17</v>
      </c>
      <c r="AI15">
        <v>96.5</v>
      </c>
      <c r="AK15">
        <v>50</v>
      </c>
      <c r="AL15">
        <v>11</v>
      </c>
      <c r="AM15">
        <v>649.9</v>
      </c>
      <c r="AN15">
        <v>19.739999999999998</v>
      </c>
      <c r="AO15">
        <v>32.93</v>
      </c>
      <c r="AP15">
        <v>94.5</v>
      </c>
      <c r="AR15">
        <v>40</v>
      </c>
      <c r="AS15">
        <v>11</v>
      </c>
      <c r="AT15">
        <v>520.1</v>
      </c>
      <c r="AU15">
        <v>18.41</v>
      </c>
      <c r="AV15">
        <v>28.25</v>
      </c>
      <c r="AW15">
        <v>93.5</v>
      </c>
      <c r="AY15">
        <v>30</v>
      </c>
      <c r="AZ15">
        <v>11</v>
      </c>
      <c r="BA15">
        <v>390</v>
      </c>
      <c r="BB15">
        <v>16.63</v>
      </c>
      <c r="BC15">
        <v>23.46</v>
      </c>
      <c r="BD15">
        <v>91.5</v>
      </c>
      <c r="BF15">
        <v>20</v>
      </c>
      <c r="BG15">
        <v>11</v>
      </c>
      <c r="BH15">
        <v>260</v>
      </c>
      <c r="BI15">
        <v>14.32</v>
      </c>
      <c r="BJ15">
        <v>18.16</v>
      </c>
      <c r="BK15">
        <v>89.5</v>
      </c>
      <c r="BM15">
        <v>15</v>
      </c>
      <c r="BN15">
        <v>11</v>
      </c>
      <c r="BO15">
        <v>195</v>
      </c>
      <c r="BP15">
        <v>13.25</v>
      </c>
      <c r="BQ15">
        <v>14.72</v>
      </c>
      <c r="BR15">
        <v>87.5</v>
      </c>
    </row>
    <row r="16" spans="1:70" x14ac:dyDescent="0.25">
      <c r="A16" s="13">
        <v>100</v>
      </c>
      <c r="B16">
        <v>9</v>
      </c>
      <c r="C16">
        <v>1300</v>
      </c>
      <c r="D16">
        <v>49.36</v>
      </c>
      <c r="E16">
        <v>26.34</v>
      </c>
      <c r="F16">
        <v>126.5</v>
      </c>
      <c r="I16">
        <v>90</v>
      </c>
      <c r="J16">
        <v>9</v>
      </c>
      <c r="K16">
        <v>1170</v>
      </c>
      <c r="L16">
        <v>38.619999999999997</v>
      </c>
      <c r="M16">
        <v>30.29</v>
      </c>
      <c r="N16">
        <v>114.5</v>
      </c>
      <c r="P16">
        <v>80</v>
      </c>
      <c r="Q16">
        <v>9</v>
      </c>
      <c r="R16">
        <v>1040</v>
      </c>
      <c r="S16">
        <v>31.21</v>
      </c>
      <c r="T16">
        <v>33.340000000000003</v>
      </c>
      <c r="U16">
        <v>106.5</v>
      </c>
      <c r="W16">
        <v>70</v>
      </c>
      <c r="X16">
        <v>9</v>
      </c>
      <c r="Y16">
        <v>910.2</v>
      </c>
      <c r="Z16">
        <v>25.28</v>
      </c>
      <c r="AA16">
        <v>35.99</v>
      </c>
      <c r="AB16">
        <v>100.5</v>
      </c>
      <c r="AD16">
        <v>60</v>
      </c>
      <c r="AE16">
        <v>9</v>
      </c>
      <c r="AF16">
        <v>780</v>
      </c>
      <c r="AG16">
        <v>21.16</v>
      </c>
      <c r="AH16">
        <v>36.86</v>
      </c>
      <c r="AI16">
        <v>95.5</v>
      </c>
      <c r="AK16">
        <v>50</v>
      </c>
      <c r="AL16">
        <v>9</v>
      </c>
      <c r="AM16">
        <v>649.9</v>
      </c>
      <c r="AN16">
        <v>19.18</v>
      </c>
      <c r="AO16">
        <v>33.880000000000003</v>
      </c>
      <c r="AP16">
        <v>94.5</v>
      </c>
      <c r="AR16">
        <v>40</v>
      </c>
      <c r="AS16">
        <v>9</v>
      </c>
      <c r="AT16">
        <v>520.1</v>
      </c>
      <c r="AU16">
        <v>18.09</v>
      </c>
      <c r="AV16">
        <v>28.76</v>
      </c>
      <c r="AW16">
        <v>93.5</v>
      </c>
      <c r="AY16">
        <v>30</v>
      </c>
      <c r="AZ16">
        <v>9</v>
      </c>
      <c r="BA16">
        <v>390</v>
      </c>
      <c r="BB16">
        <v>16.48</v>
      </c>
      <c r="BC16">
        <v>23.67</v>
      </c>
      <c r="BD16">
        <v>91.5</v>
      </c>
      <c r="BF16">
        <v>20</v>
      </c>
      <c r="BG16">
        <v>9</v>
      </c>
      <c r="BH16">
        <v>260</v>
      </c>
      <c r="BI16">
        <v>14.81</v>
      </c>
      <c r="BJ16">
        <v>17.559999999999999</v>
      </c>
      <c r="BK16">
        <v>89.5</v>
      </c>
      <c r="BM16">
        <v>15</v>
      </c>
      <c r="BN16">
        <v>9</v>
      </c>
      <c r="BO16">
        <v>195</v>
      </c>
      <c r="BP16">
        <v>13.19</v>
      </c>
      <c r="BQ16">
        <v>14.79</v>
      </c>
      <c r="BR16">
        <v>87.5</v>
      </c>
    </row>
    <row r="17" spans="1:70" x14ac:dyDescent="0.25">
      <c r="A17" s="13">
        <v>100</v>
      </c>
      <c r="B17">
        <v>6</v>
      </c>
      <c r="C17">
        <v>1300</v>
      </c>
      <c r="D17">
        <v>45.21</v>
      </c>
      <c r="E17">
        <v>28.76</v>
      </c>
      <c r="F17">
        <v>123.5</v>
      </c>
      <c r="I17">
        <v>90</v>
      </c>
      <c r="J17">
        <v>6</v>
      </c>
      <c r="K17">
        <v>1170</v>
      </c>
      <c r="L17">
        <v>35.86</v>
      </c>
      <c r="M17">
        <v>32.630000000000003</v>
      </c>
      <c r="N17">
        <v>112.5</v>
      </c>
      <c r="P17">
        <v>80</v>
      </c>
      <c r="Q17">
        <v>6</v>
      </c>
      <c r="R17">
        <v>1040</v>
      </c>
      <c r="S17">
        <v>29.14</v>
      </c>
      <c r="T17">
        <v>35.69</v>
      </c>
      <c r="U17">
        <v>105.5</v>
      </c>
      <c r="W17">
        <v>70</v>
      </c>
      <c r="X17">
        <v>6</v>
      </c>
      <c r="Y17">
        <v>910.2</v>
      </c>
      <c r="Z17">
        <v>23.41</v>
      </c>
      <c r="AA17">
        <v>38.869999999999997</v>
      </c>
      <c r="AB17">
        <v>98.5</v>
      </c>
      <c r="AD17">
        <v>60</v>
      </c>
      <c r="AE17">
        <v>6</v>
      </c>
      <c r="AF17">
        <v>780</v>
      </c>
      <c r="AG17">
        <v>20.53</v>
      </c>
      <c r="AH17">
        <v>37.979999999999997</v>
      </c>
      <c r="AI17">
        <v>95.5</v>
      </c>
      <c r="AK17">
        <v>50</v>
      </c>
      <c r="AL17">
        <v>6</v>
      </c>
      <c r="AM17">
        <v>649.9</v>
      </c>
      <c r="AN17">
        <v>19.07</v>
      </c>
      <c r="AO17">
        <v>34.08</v>
      </c>
      <c r="AP17">
        <v>94.5</v>
      </c>
      <c r="AR17">
        <v>40</v>
      </c>
      <c r="AS17">
        <v>6</v>
      </c>
      <c r="AT17">
        <v>520.1</v>
      </c>
      <c r="AU17">
        <v>17.95</v>
      </c>
      <c r="AV17">
        <v>28.97</v>
      </c>
      <c r="AW17">
        <v>93.5</v>
      </c>
      <c r="AY17">
        <v>30</v>
      </c>
      <c r="AZ17">
        <v>6</v>
      </c>
      <c r="BA17">
        <v>390</v>
      </c>
      <c r="BB17">
        <v>16.36</v>
      </c>
      <c r="BC17">
        <v>23.84</v>
      </c>
      <c r="BD17">
        <v>91.5</v>
      </c>
      <c r="BF17">
        <v>20</v>
      </c>
      <c r="BG17">
        <v>6</v>
      </c>
      <c r="BH17">
        <v>260</v>
      </c>
      <c r="BI17">
        <v>14.88</v>
      </c>
      <c r="BJ17">
        <v>17.47</v>
      </c>
      <c r="BK17">
        <v>89.5</v>
      </c>
      <c r="BM17">
        <v>15</v>
      </c>
      <c r="BN17">
        <v>6</v>
      </c>
      <c r="BO17">
        <v>195</v>
      </c>
      <c r="BP17">
        <v>13.73</v>
      </c>
      <c r="BQ17">
        <v>14.2</v>
      </c>
      <c r="BR17">
        <v>88.5</v>
      </c>
    </row>
    <row r="18" spans="1:70" x14ac:dyDescent="0.25">
      <c r="A18" s="13">
        <v>100</v>
      </c>
      <c r="B18">
        <v>3</v>
      </c>
      <c r="C18">
        <v>1300</v>
      </c>
      <c r="D18">
        <v>43.48</v>
      </c>
      <c r="E18">
        <v>29.91</v>
      </c>
      <c r="F18">
        <v>123.5</v>
      </c>
      <c r="I18">
        <v>90</v>
      </c>
      <c r="J18">
        <v>3</v>
      </c>
      <c r="K18">
        <v>1170</v>
      </c>
      <c r="L18">
        <v>34.6</v>
      </c>
      <c r="M18">
        <v>33.82</v>
      </c>
      <c r="N18">
        <v>112.5</v>
      </c>
      <c r="P18">
        <v>80</v>
      </c>
      <c r="Q18">
        <v>3</v>
      </c>
      <c r="R18">
        <v>1040</v>
      </c>
      <c r="S18">
        <v>28.83</v>
      </c>
      <c r="T18">
        <v>36.08</v>
      </c>
      <c r="U18">
        <v>106.5</v>
      </c>
      <c r="W18">
        <v>70</v>
      </c>
      <c r="X18">
        <v>3</v>
      </c>
      <c r="Y18">
        <v>910.2</v>
      </c>
      <c r="Z18">
        <v>23.36</v>
      </c>
      <c r="AA18">
        <v>38.96</v>
      </c>
      <c r="AB18">
        <v>99.5</v>
      </c>
      <c r="AD18">
        <v>60</v>
      </c>
      <c r="AE18">
        <v>3</v>
      </c>
      <c r="AF18">
        <v>780</v>
      </c>
      <c r="AG18">
        <v>20.21</v>
      </c>
      <c r="AH18">
        <v>38.590000000000003</v>
      </c>
      <c r="AI18">
        <v>95.5</v>
      </c>
      <c r="AK18">
        <v>50</v>
      </c>
      <c r="AL18">
        <v>3</v>
      </c>
      <c r="AM18">
        <v>649.9</v>
      </c>
      <c r="AN18">
        <v>18.8</v>
      </c>
      <c r="AO18">
        <v>34.58</v>
      </c>
      <c r="AP18">
        <v>94.5</v>
      </c>
      <c r="AR18">
        <v>40</v>
      </c>
      <c r="AS18">
        <v>3</v>
      </c>
      <c r="AT18">
        <v>520.1</v>
      </c>
      <c r="AU18">
        <v>17.97</v>
      </c>
      <c r="AV18">
        <v>28.95</v>
      </c>
      <c r="AW18">
        <v>93.5</v>
      </c>
      <c r="AY18">
        <v>30</v>
      </c>
      <c r="AZ18">
        <v>3</v>
      </c>
      <c r="BA18">
        <v>390</v>
      </c>
      <c r="BB18">
        <v>16.329999999999998</v>
      </c>
      <c r="BC18">
        <v>23.88</v>
      </c>
      <c r="BD18">
        <v>91.5</v>
      </c>
      <c r="BF18">
        <v>20</v>
      </c>
      <c r="BG18">
        <v>3</v>
      </c>
      <c r="BH18">
        <v>260</v>
      </c>
      <c r="BI18">
        <v>14.56</v>
      </c>
      <c r="BJ18">
        <v>17.86</v>
      </c>
      <c r="BK18">
        <v>89.5</v>
      </c>
      <c r="BM18">
        <v>15</v>
      </c>
      <c r="BN18">
        <v>3</v>
      </c>
      <c r="BO18">
        <v>195</v>
      </c>
      <c r="BP18">
        <v>13.14</v>
      </c>
      <c r="BQ18">
        <v>14.85</v>
      </c>
      <c r="BR18">
        <v>87.5</v>
      </c>
    </row>
    <row r="19" spans="1:70" x14ac:dyDescent="0.25">
      <c r="A19" s="13">
        <v>100</v>
      </c>
      <c r="B19">
        <v>0</v>
      </c>
      <c r="C19">
        <v>1300</v>
      </c>
      <c r="D19">
        <v>42.56</v>
      </c>
      <c r="E19">
        <v>30.56</v>
      </c>
      <c r="F19">
        <v>123.5</v>
      </c>
      <c r="I19">
        <v>90</v>
      </c>
      <c r="J19">
        <v>0</v>
      </c>
      <c r="K19">
        <v>1170</v>
      </c>
      <c r="L19">
        <v>33.9</v>
      </c>
      <c r="M19">
        <v>34.51</v>
      </c>
      <c r="N19">
        <v>112.5</v>
      </c>
      <c r="P19">
        <v>80</v>
      </c>
      <c r="Q19">
        <v>0</v>
      </c>
      <c r="R19">
        <v>1040</v>
      </c>
      <c r="S19">
        <v>27.78</v>
      </c>
      <c r="T19">
        <v>37.44</v>
      </c>
      <c r="U19">
        <v>105.5</v>
      </c>
      <c r="W19">
        <v>70</v>
      </c>
      <c r="X19">
        <v>0</v>
      </c>
      <c r="Y19">
        <v>910.2</v>
      </c>
      <c r="Z19">
        <v>24.29</v>
      </c>
      <c r="AA19">
        <v>37.47</v>
      </c>
      <c r="AB19">
        <v>101.5</v>
      </c>
      <c r="AD19">
        <v>60</v>
      </c>
      <c r="AE19">
        <v>0</v>
      </c>
      <c r="AF19">
        <v>780</v>
      </c>
      <c r="AG19">
        <v>20.02</v>
      </c>
      <c r="AH19">
        <v>38.97</v>
      </c>
      <c r="AI19">
        <v>95.5</v>
      </c>
      <c r="AK19">
        <v>50</v>
      </c>
      <c r="AL19">
        <v>0</v>
      </c>
      <c r="AM19">
        <v>649.9</v>
      </c>
      <c r="AN19">
        <v>18.64</v>
      </c>
      <c r="AO19">
        <v>34.86</v>
      </c>
      <c r="AP19">
        <v>94.5</v>
      </c>
      <c r="AR19">
        <v>40</v>
      </c>
      <c r="AS19">
        <v>0</v>
      </c>
      <c r="AT19">
        <v>520.1</v>
      </c>
      <c r="AU19">
        <v>17.739999999999998</v>
      </c>
      <c r="AV19">
        <v>29.31</v>
      </c>
      <c r="AW19">
        <v>93.5</v>
      </c>
      <c r="AY19">
        <v>30</v>
      </c>
      <c r="AZ19">
        <v>0</v>
      </c>
      <c r="BA19">
        <v>390</v>
      </c>
      <c r="BB19">
        <v>16.489999999999998</v>
      </c>
      <c r="BC19">
        <v>23.65</v>
      </c>
      <c r="BD19">
        <v>91.5</v>
      </c>
      <c r="BF19">
        <v>20</v>
      </c>
      <c r="BG19">
        <v>0</v>
      </c>
      <c r="BH19">
        <v>260</v>
      </c>
      <c r="BI19">
        <v>14.35</v>
      </c>
      <c r="BJ19">
        <v>18.12</v>
      </c>
      <c r="BK19">
        <v>89.5</v>
      </c>
      <c r="BM19">
        <v>15</v>
      </c>
      <c r="BN19">
        <v>0</v>
      </c>
      <c r="BO19">
        <v>195</v>
      </c>
      <c r="BP19">
        <v>17.010000000000002</v>
      </c>
      <c r="BQ19">
        <v>11.47</v>
      </c>
      <c r="BR19">
        <v>92.5</v>
      </c>
    </row>
    <row r="20" spans="1:70" x14ac:dyDescent="0.25">
      <c r="A20" s="13">
        <v>100</v>
      </c>
      <c r="B20">
        <v>-3</v>
      </c>
      <c r="C20">
        <v>1300</v>
      </c>
      <c r="D20">
        <v>41.86</v>
      </c>
      <c r="E20">
        <v>31.07</v>
      </c>
      <c r="F20">
        <v>123.5</v>
      </c>
      <c r="I20">
        <v>90</v>
      </c>
      <c r="J20">
        <v>-3</v>
      </c>
      <c r="K20">
        <v>1170</v>
      </c>
      <c r="L20">
        <v>33.549999999999997</v>
      </c>
      <c r="M20">
        <v>34.86</v>
      </c>
      <c r="N20">
        <v>112.5</v>
      </c>
      <c r="P20">
        <v>80</v>
      </c>
      <c r="Q20">
        <v>-3</v>
      </c>
      <c r="R20">
        <v>1040</v>
      </c>
      <c r="S20">
        <v>29.31</v>
      </c>
      <c r="T20">
        <v>35.49</v>
      </c>
      <c r="U20">
        <v>107.5</v>
      </c>
      <c r="W20">
        <v>70</v>
      </c>
      <c r="X20">
        <v>-3</v>
      </c>
      <c r="Y20">
        <v>910.2</v>
      </c>
      <c r="Z20">
        <v>22.91</v>
      </c>
      <c r="AA20">
        <v>39.72</v>
      </c>
      <c r="AB20">
        <v>99.5</v>
      </c>
      <c r="AD20">
        <v>60</v>
      </c>
      <c r="AE20">
        <v>-3</v>
      </c>
      <c r="AF20">
        <v>780</v>
      </c>
      <c r="AG20">
        <v>19.86</v>
      </c>
      <c r="AH20">
        <v>39.270000000000003</v>
      </c>
      <c r="AI20">
        <v>95.5</v>
      </c>
      <c r="AK20">
        <v>50</v>
      </c>
      <c r="AL20">
        <v>-3</v>
      </c>
      <c r="AM20">
        <v>649.9</v>
      </c>
      <c r="AN20">
        <v>18.54</v>
      </c>
      <c r="AO20">
        <v>35.06</v>
      </c>
      <c r="AP20">
        <v>94.5</v>
      </c>
      <c r="AR20">
        <v>40</v>
      </c>
      <c r="AS20">
        <v>-3</v>
      </c>
      <c r="AT20">
        <v>520.1</v>
      </c>
      <c r="AU20">
        <v>17.670000000000002</v>
      </c>
      <c r="AV20">
        <v>29.43</v>
      </c>
      <c r="AW20">
        <v>93.5</v>
      </c>
      <c r="AY20">
        <v>30</v>
      </c>
      <c r="AZ20">
        <v>-3</v>
      </c>
      <c r="BA20">
        <v>390</v>
      </c>
      <c r="BB20">
        <v>16.32</v>
      </c>
      <c r="BC20">
        <v>23.89</v>
      </c>
      <c r="BD20">
        <v>91.5</v>
      </c>
      <c r="BF20">
        <v>20</v>
      </c>
      <c r="BG20">
        <v>-3</v>
      </c>
      <c r="BH20">
        <v>260</v>
      </c>
      <c r="BI20">
        <v>14.8</v>
      </c>
      <c r="BJ20">
        <v>17.57</v>
      </c>
      <c r="BK20">
        <v>89.5</v>
      </c>
    </row>
    <row r="21" spans="1:70" x14ac:dyDescent="0.25">
      <c r="A21" s="13">
        <v>100</v>
      </c>
      <c r="B21">
        <v>-5</v>
      </c>
      <c r="C21">
        <v>1300</v>
      </c>
      <c r="D21">
        <v>44.35</v>
      </c>
      <c r="E21">
        <v>29.31</v>
      </c>
      <c r="F21">
        <v>126.5</v>
      </c>
      <c r="I21">
        <v>90</v>
      </c>
      <c r="J21">
        <v>-5</v>
      </c>
      <c r="K21">
        <v>1170</v>
      </c>
      <c r="L21">
        <v>34.270000000000003</v>
      </c>
      <c r="M21">
        <v>34.15</v>
      </c>
      <c r="N21">
        <v>113.5</v>
      </c>
      <c r="P21">
        <v>80</v>
      </c>
      <c r="Q21">
        <v>-5</v>
      </c>
      <c r="R21">
        <v>1040</v>
      </c>
      <c r="S21">
        <v>28.1</v>
      </c>
      <c r="T21">
        <v>37.01</v>
      </c>
      <c r="U21">
        <v>106.5</v>
      </c>
      <c r="W21">
        <v>70</v>
      </c>
      <c r="X21">
        <v>-5</v>
      </c>
      <c r="Y21">
        <v>910.2</v>
      </c>
      <c r="Z21">
        <v>23.57</v>
      </c>
      <c r="AA21">
        <v>38.61</v>
      </c>
      <c r="AB21">
        <v>100.5</v>
      </c>
      <c r="AD21">
        <v>60</v>
      </c>
      <c r="AE21">
        <v>-5</v>
      </c>
      <c r="AF21">
        <v>780</v>
      </c>
      <c r="AG21">
        <v>19.82</v>
      </c>
      <c r="AH21">
        <v>39.35</v>
      </c>
      <c r="AI21">
        <v>95.5</v>
      </c>
      <c r="AK21">
        <v>50</v>
      </c>
      <c r="AL21">
        <v>-5</v>
      </c>
      <c r="AM21">
        <v>649.9</v>
      </c>
      <c r="AN21">
        <v>18.489999999999998</v>
      </c>
      <c r="AO21">
        <v>35.130000000000003</v>
      </c>
      <c r="AP21">
        <v>94.5</v>
      </c>
      <c r="AR21">
        <v>40</v>
      </c>
      <c r="AS21">
        <v>-5</v>
      </c>
      <c r="AT21">
        <v>520.1</v>
      </c>
      <c r="AU21">
        <v>17.64</v>
      </c>
      <c r="AV21">
        <v>29.48</v>
      </c>
      <c r="AW21">
        <v>93.5</v>
      </c>
      <c r="AY21">
        <v>30</v>
      </c>
      <c r="AZ21">
        <v>-5</v>
      </c>
      <c r="BA21">
        <v>390</v>
      </c>
      <c r="BB21">
        <v>16.350000000000001</v>
      </c>
      <c r="BC21">
        <v>23.86</v>
      </c>
      <c r="BD21">
        <v>91.5</v>
      </c>
      <c r="BF21">
        <v>20</v>
      </c>
      <c r="BG21">
        <v>-5</v>
      </c>
      <c r="BH21">
        <v>260</v>
      </c>
      <c r="BI21">
        <v>14.37</v>
      </c>
      <c r="BJ21">
        <v>18.09</v>
      </c>
      <c r="BK21">
        <v>89.5</v>
      </c>
    </row>
  </sheetData>
  <phoneticPr fontId="5" type="noConversion"/>
  <pageMargins left="0.7" right="0.7" top="0.75" bottom="0.75" header="0.3" footer="0.3"/>
  <pageSetup paperSize="9"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E9D143BF0F045B78ABBF585DF937B" ma:contentTypeVersion="17" ma:contentTypeDescription="Create a new document." ma:contentTypeScope="" ma:versionID="afa757d6e245cab52c30fe9ab33443d1">
  <xsd:schema xmlns:xsd="http://www.w3.org/2001/XMLSchema" xmlns:xs="http://www.w3.org/2001/XMLSchema" xmlns:p="http://schemas.microsoft.com/office/2006/metadata/properties" xmlns:ns3="a04b4323-a954-4ca7-9757-8cdbce749718" xmlns:ns4="379d4415-610f-4981-8136-1100880e6eee" targetNamespace="http://schemas.microsoft.com/office/2006/metadata/properties" ma:root="true" ma:fieldsID="306fb5c2bb3f4537b7bf968706fe5dce" ns3:_="" ns4:_="">
    <xsd:import namespace="a04b4323-a954-4ca7-9757-8cdbce749718"/>
    <xsd:import namespace="379d4415-610f-4981-8136-1100880e6e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b4323-a954-4ca7-9757-8cdbce7497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d4415-610f-4981-8136-1100880e6ee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4b4323-a954-4ca7-9757-8cdbce74971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0A5158D3-A525-4467-9F39-F536C5D5DF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4b4323-a954-4ca7-9757-8cdbce749718"/>
    <ds:schemaRef ds:uri="379d4415-610f-4981-8136-1100880e6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385597-E66C-4069-9E5A-9F699F5C61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0512B5-C580-4BEE-A2E8-CD31F9772892}">
  <ds:schemaRefs>
    <ds:schemaRef ds:uri="a04b4323-a954-4ca7-9757-8cdbce749718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379d4415-610f-4981-8136-1100880e6eee"/>
  </ds:schemaRefs>
</ds:datastoreItem>
</file>

<file path=customXml/itemProps4.xml><?xml version="1.0" encoding="utf-8"?>
<ds:datastoreItem xmlns:ds="http://schemas.openxmlformats.org/officeDocument/2006/customXml" ds:itemID="{15479380-7A8C-425F-B4E5-3B807FED62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YVAM Annual Estimate@25-17</vt:lpstr>
      <vt:lpstr>YVAM chiller load reference </vt:lpstr>
      <vt:lpstr>YVAM Annual Estimate @33-25</vt:lpstr>
      <vt:lpstr>YVAM chiller load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 Bawayah</dc:creator>
  <cp:lastModifiedBy>Tony Zheng</cp:lastModifiedBy>
  <dcterms:created xsi:type="dcterms:W3CDTF">2024-08-07T13:43:26Z</dcterms:created>
  <dcterms:modified xsi:type="dcterms:W3CDTF">2025-05-08T07:30:17Z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0x010100ACCE9D143BF0F045B78ABBF585DF937B</vt:lpwstr>
  </property>
</Properties>
</file>