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iel\Desktop\Configuration Library\ACC_1.5MW_GASENGINE_CDU\equipment\ACC_2\"/>
    </mc:Choice>
  </mc:AlternateContent>
  <xr:revisionPtr revIDLastSave="0" documentId="8_{52E4C256-B0C2-41DB-9C1E-AAF5CAB3C1CB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Information" sheetId="1" r:id="rId1"/>
    <sheet name="Metadata" sheetId="2" r:id="rId2"/>
    <sheet name="Performance_Map" sheetId="3" r:id="rId3"/>
    <sheet name="Solver_Curve" sheetId="4" r:id="rId4"/>
    <sheet name="Heat_Exchanger" sheetId="5" r:id="rId5"/>
    <sheet name="Sound_Data" sheetId="6" r:id="rId6"/>
    <sheet name="Validation" sheetId="7" r:id="rId7"/>
  </sheets>
  <calcPr calcId="181029"/>
</workbook>
</file>

<file path=xl/calcChain.xml><?xml version="1.0" encoding="utf-8"?>
<calcChain xmlns="http://schemas.openxmlformats.org/spreadsheetml/2006/main">
  <c r="G5" i="4" l="1"/>
  <c r="G4" i="4"/>
  <c r="G3" i="4"/>
  <c r="G2" i="4"/>
</calcChain>
</file>

<file path=xl/sharedStrings.xml><?xml version="1.0" encoding="utf-8"?>
<sst xmlns="http://schemas.openxmlformats.org/spreadsheetml/2006/main" count="258" uniqueCount="192">
  <si>
    <t>Field</t>
  </si>
  <si>
    <t>Value</t>
  </si>
  <si>
    <t>Unit / Notes</t>
  </si>
  <si>
    <t>Equipment ID</t>
  </si>
  <si>
    <t>ACC_2</t>
  </si>
  <si>
    <t>Internal registry ID</t>
  </si>
  <si>
    <t>Equipment Type</t>
  </si>
  <si>
    <t>ACC / Air-Cooled Chiller</t>
  </si>
  <si>
    <t>Manufacturer</t>
  </si>
  <si>
    <t>YORK</t>
  </si>
  <si>
    <t>Manufacturer Model</t>
  </si>
  <si>
    <t>YVAM1500</t>
  </si>
  <si>
    <t>Project Name</t>
  </si>
  <si>
    <t>YVAM-480-US</t>
  </si>
  <si>
    <t>from report</t>
  </si>
  <si>
    <t>Unit Tag</t>
  </si>
  <si>
    <t>CH-1</t>
  </si>
  <si>
    <t>Cooling Unit Mapping</t>
  </si>
  <si>
    <t>1.5 MW</t>
  </si>
  <si>
    <t>Confirmed by user: ACC_2</t>
  </si>
  <si>
    <t>Package Version</t>
  </si>
  <si>
    <t>v2.0</t>
  </si>
  <si>
    <t>Equipment Package Standard</t>
  </si>
  <si>
    <t>Data Confidence</t>
  </si>
  <si>
    <t>High</t>
  </si>
  <si>
    <t>Factory performance report available</t>
  </si>
  <si>
    <t>Solver Readiness</t>
  </si>
  <si>
    <t>Ready with AHRI 4-point part-load map</t>
  </si>
  <si>
    <t>Requires interpolation for 8760 use</t>
  </si>
  <si>
    <t>Rated Cooling Capacity</t>
  </si>
  <si>
    <t>kW</t>
  </si>
  <si>
    <t>Total Input Power</t>
  </si>
  <si>
    <t>Rated COP</t>
  </si>
  <si>
    <t>kW/kW</t>
  </si>
  <si>
    <t>NPLV.IP</t>
  </si>
  <si>
    <t>Refrigerant</t>
  </si>
  <si>
    <t>R-1234ze</t>
  </si>
  <si>
    <t>Number of Compressors</t>
  </si>
  <si>
    <t>Compressor Type</t>
  </si>
  <si>
    <t>Variable Speed</t>
  </si>
  <si>
    <t>Compressor Model</t>
  </si>
  <si>
    <t>M2C-233FAC</t>
  </si>
  <si>
    <t>Number of Compressor Circuits</t>
  </si>
  <si>
    <t>Capacity Control</t>
  </si>
  <si>
    <t>10% - 100%</t>
  </si>
  <si>
    <t>Nominal Voltage</t>
  </si>
  <si>
    <t>460/3/60</t>
  </si>
  <si>
    <t>414V - 508V limits</t>
  </si>
  <si>
    <t>Min. Circuit Ampacity</t>
  </si>
  <si>
    <t>A</t>
  </si>
  <si>
    <t>Max. Fuse / CB Rating</t>
  </si>
  <si>
    <t>RLA</t>
  </si>
  <si>
    <t>Control kVA</t>
  </si>
  <si>
    <t>kVA</t>
  </si>
  <si>
    <t>Compressor kW</t>
  </si>
  <si>
    <t>Fan Type</t>
  </si>
  <si>
    <t>Container ship high efficiency fans with variable speed EC motor and harmonic filter</t>
  </si>
  <si>
    <t>Fan Quantity</t>
  </si>
  <si>
    <t>Total Fan Power</t>
  </si>
  <si>
    <t>Total Air Flow</t>
  </si>
  <si>
    <t>m3/s</t>
  </si>
  <si>
    <t>A-Weighted Sound Power</t>
  </si>
  <si>
    <t>dB(A)</t>
  </si>
  <si>
    <t>Shipping Weight</t>
  </si>
  <si>
    <t>kg</t>
  </si>
  <si>
    <t>Operating Weight</t>
  </si>
  <si>
    <t>Refrigerant Charge</t>
  </si>
  <si>
    <t>Overall Length</t>
  </si>
  <si>
    <t>mm</t>
  </si>
  <si>
    <t>Overall Width</t>
  </si>
  <si>
    <t>Overall Height</t>
  </si>
  <si>
    <t>Source File</t>
  </si>
  <si>
    <t>01 YVAM1500 PG25 1300kW Performance Report Rev A.PDF</t>
  </si>
  <si>
    <t>Uploaded source</t>
  </si>
  <si>
    <t>Source Page 1</t>
  </si>
  <si>
    <t>Full-load design / unit / electrical data</t>
  </si>
  <si>
    <t>Source Page 2</t>
  </si>
  <si>
    <t>Heat exchanger and part-load performance table</t>
  </si>
  <si>
    <t>Source Page 3</t>
  </si>
  <si>
    <t>Sound power levels and notes</t>
  </si>
  <si>
    <t>Notes</t>
  </si>
  <si>
    <t>registry_id</t>
  </si>
  <si>
    <t>Internal software ID</t>
  </si>
  <si>
    <t>equipment_type</t>
  </si>
  <si>
    <t>acc</t>
  </si>
  <si>
    <t>air_cooled_chiller</t>
  </si>
  <si>
    <t>manufacturer</t>
  </si>
  <si>
    <t>manufacturer_model</t>
  </si>
  <si>
    <t>configuration_hint</t>
  </si>
  <si>
    <t>ACC_1.5MW_*</t>
  </si>
  <si>
    <t>Depends on configuration package</t>
  </si>
  <si>
    <t>cooling_unit_capacity_mw</t>
  </si>
  <si>
    <t>User-confirmed mapping</t>
  </si>
  <si>
    <t>curve_format</t>
  </si>
  <si>
    <t>performance_map</t>
  </si>
  <si>
    <t>primary_solver_sheet</t>
  </si>
  <si>
    <t>Solver_Curve</t>
  </si>
  <si>
    <t>raw_map_sheet</t>
  </si>
  <si>
    <t>Performance_Map</t>
  </si>
  <si>
    <t>design_ambient_C</t>
  </si>
  <si>
    <t>design_capacity_kW</t>
  </si>
  <si>
    <t>design_power_kW</t>
  </si>
  <si>
    <t>design_COP</t>
  </si>
  <si>
    <t>fluid_type</t>
  </si>
  <si>
    <t>Propylene Glycol</t>
  </si>
  <si>
    <t>25% concentration</t>
  </si>
  <si>
    <t>package_created</t>
  </si>
  <si>
    <t>2026-06-30</t>
  </si>
  <si>
    <t>source_document</t>
  </si>
  <si>
    <t>YORK Performance Report</t>
  </si>
  <si>
    <t>percent_load</t>
  </si>
  <si>
    <t>ambient_C</t>
  </si>
  <si>
    <t>capacity_kW</t>
  </si>
  <si>
    <t>power_input_kW</t>
  </si>
  <si>
    <t>unit_efficiency_COP</t>
  </si>
  <si>
    <t>job_FLA_A</t>
  </si>
  <si>
    <t>source_page</t>
  </si>
  <si>
    <t>data_type</t>
  </si>
  <si>
    <t>Factory AHRI part-load point</t>
  </si>
  <si>
    <t>load_ratio</t>
  </si>
  <si>
    <t>COP</t>
  </si>
  <si>
    <t>calculated_COP_check</t>
  </si>
  <si>
    <t>source_note</t>
  </si>
  <si>
    <t>solver_use</t>
  </si>
  <si>
    <t>PDF page 2: Factory AHRI part-load point</t>
  </si>
  <si>
    <t>Use for interpolation</t>
  </si>
  <si>
    <t>Section</t>
  </si>
  <si>
    <t>Parameter</t>
  </si>
  <si>
    <t>Evaporator</t>
  </si>
  <si>
    <t>Model</t>
  </si>
  <si>
    <t>EA2914-481-CS-2</t>
  </si>
  <si>
    <t>Entering Fluid Temperature</t>
  </si>
  <si>
    <t>C</t>
  </si>
  <si>
    <t>Leaving Fluid Temperature</t>
  </si>
  <si>
    <t>Flow Rate</t>
  </si>
  <si>
    <t>L/s</t>
  </si>
  <si>
    <t>Fouling Factor</t>
  </si>
  <si>
    <t>m2 K/kW</t>
  </si>
  <si>
    <t>Fluid Type / Concentration</t>
  </si>
  <si>
    <t>Propylene Glycol / 25.0</t>
  </si>
  <si>
    <t>%</t>
  </si>
  <si>
    <t>Passes</t>
  </si>
  <si>
    <t>Pressure Drop</t>
  </si>
  <si>
    <t>kPa</t>
  </si>
  <si>
    <t>Minimum Flow Rate</t>
  </si>
  <si>
    <t>Maximum Flow Rate</t>
  </si>
  <si>
    <t>Condenser (Air Cooled)</t>
  </si>
  <si>
    <t>Ambient Air Temperature</t>
  </si>
  <si>
    <t>Altitude</t>
  </si>
  <si>
    <t>m</t>
  </si>
  <si>
    <t>Number of Fans</t>
  </si>
  <si>
    <t>63_Hz</t>
  </si>
  <si>
    <t>125_Hz</t>
  </si>
  <si>
    <t>250_Hz</t>
  </si>
  <si>
    <t>500_Hz</t>
  </si>
  <si>
    <t>1000_Hz</t>
  </si>
  <si>
    <t>2000_Hz</t>
  </si>
  <si>
    <t>4000_Hz</t>
  </si>
  <si>
    <t>8000_Hz</t>
  </si>
  <si>
    <t>LWA_dBA</t>
  </si>
  <si>
    <t>Check Item</t>
  </si>
  <si>
    <t>Status</t>
  </si>
  <si>
    <t>Source PDF read</t>
  </si>
  <si>
    <t>PASS</t>
  </si>
  <si>
    <t>YORK YVAM1500 performance report parsed</t>
  </si>
  <si>
    <t>Equipment ID confirmed</t>
  </si>
  <si>
    <t>ACC_2 confirmed by user</t>
  </si>
  <si>
    <t>Rated capacity</t>
  </si>
  <si>
    <t>1300 kW</t>
  </si>
  <si>
    <t>Rated power</t>
  </si>
  <si>
    <t>424.2 kW</t>
  </si>
  <si>
    <t>3.064</t>
  </si>
  <si>
    <t>Part-load performance points</t>
  </si>
  <si>
    <t>100%, 75%, 50%, 25% captured</t>
  </si>
  <si>
    <t>Ambient-dependent points</t>
  </si>
  <si>
    <t>PARTIAL</t>
  </si>
  <si>
    <t>Only AHRI unloading points available, not a full ambient grid</t>
  </si>
  <si>
    <t>Fan power</t>
  </si>
  <si>
    <t>35.79 kW full-load total fan power captured</t>
  </si>
  <si>
    <t>Full fan power curve</t>
  </si>
  <si>
    <t>MISSING</t>
  </si>
  <si>
    <t>No fan power values by load / ambient in PDF</t>
  </si>
  <si>
    <t>Condenser heat rejection map</t>
  </si>
  <si>
    <t>Not provided in this YVAM1500 report</t>
  </si>
  <si>
    <t>Sound data</t>
  </si>
  <si>
    <t>Octave bands and LWA captured</t>
  </si>
  <si>
    <t>Solver readiness</t>
  </si>
  <si>
    <t>READY_WITH_LIMITATIONS</t>
  </si>
  <si>
    <t>Can interpolate between four AHRI part-load points</t>
  </si>
  <si>
    <t>Recommended additional data</t>
  </si>
  <si>
    <t>REQUEST</t>
  </si>
  <si>
    <t>Full air-cooled efficiency map across multiple ambient temperatures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</si>
</sst>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2" fontId="0" fillId="0" borderId="0" xfId="1" applyNumberFormat="1" applyFont="1" applyAlignment="1">
      <alignment wrapText="1"/>
    </xf>
    <xf numFmtId="164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3">
    <dxf>
      <font>
        <color rgb="FF9C6500"/>
      </font>
      <fill>
        <patternFill patternType="solid">
          <bgColor rgb="FFFFF2CC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color rgb="FF0080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formanceMapTable" displayName="PerformanceMapTable" ref="A1:H5">
  <tableColumns count="8">
    <tableColumn id="1" xr3:uid="{00000000-0010-0000-0000-000001000000}" name="percent_load"/>
    <tableColumn id="2" xr3:uid="{00000000-0010-0000-0000-000002000000}" name="ambient_C"/>
    <tableColumn id="3" xr3:uid="{00000000-0010-0000-0000-000003000000}" name="capacity_kW"/>
    <tableColumn id="4" xr3:uid="{00000000-0010-0000-0000-000004000000}" name="power_input_kW"/>
    <tableColumn id="5" xr3:uid="{00000000-0010-0000-0000-000005000000}" name="unit_efficiency_COP"/>
    <tableColumn id="6" xr3:uid="{00000000-0010-0000-0000-000006000000}" name="job_FLA_A"/>
    <tableColumn id="7" xr3:uid="{00000000-0010-0000-0000-000007000000}" name="source_page"/>
    <tableColumn id="8" xr3:uid="{00000000-0010-0000-0000-000008000000}" name="data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lverCurveTable" displayName="SolverCurveTable" ref="A1:J5">
  <tableColumns count="10">
    <tableColumn id="1" xr3:uid="{00000000-0010-0000-0100-000001000000}" name="load_ratio"/>
    <tableColumn id="2" xr3:uid="{00000000-0010-0000-0100-000002000000}" name="percent_load"/>
    <tableColumn id="3" xr3:uid="{00000000-0010-0000-0100-000003000000}" name="ambient_C"/>
    <tableColumn id="4" xr3:uid="{00000000-0010-0000-0100-000004000000}" name="capacity_kW"/>
    <tableColumn id="5" xr3:uid="{00000000-0010-0000-0100-000005000000}" name="power_input_kW"/>
    <tableColumn id="6" xr3:uid="{00000000-0010-0000-0100-000006000000}" name="COP"/>
    <tableColumn id="7" xr3:uid="{00000000-0010-0000-0100-000007000000}" name="calculated_COP_check"/>
    <tableColumn id="8" xr3:uid="{00000000-0010-0000-0100-000008000000}" name="job_FLA_A"/>
    <tableColumn id="9" xr3:uid="{00000000-0010-0000-0100-000009000000}" name="source_note"/>
    <tableColumn id="10" xr3:uid="{00000000-0010-0000-0100-00000A000000}" name="solver_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eatExchangerTable" displayName="HeatExchangerTable" ref="A1:D16">
  <tableColumns count="4">
    <tableColumn id="1" xr3:uid="{00000000-0010-0000-0200-000001000000}" name="Section"/>
    <tableColumn id="2" xr3:uid="{00000000-0010-0000-0200-000002000000}" name="Parameter"/>
    <tableColumn id="3" xr3:uid="{00000000-0010-0000-0200-000003000000}" name="Value"/>
    <tableColumn id="4" xr3:uid="{00000000-0010-0000-0200-000004000000}" name="Unit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ndDataTable" displayName="SoundDataTable" ref="A1:L5">
  <tableColumns count="12">
    <tableColumn id="1" xr3:uid="{00000000-0010-0000-0300-000001000000}" name="percent_load"/>
    <tableColumn id="2" xr3:uid="{00000000-0010-0000-0300-000002000000}" name="ambient_C"/>
    <tableColumn id="3" xr3:uid="{00000000-0010-0000-0300-000003000000}" name="63_Hz"/>
    <tableColumn id="4" xr3:uid="{00000000-0010-0000-0300-000004000000}" name="125_Hz"/>
    <tableColumn id="5" xr3:uid="{00000000-0010-0000-0300-000005000000}" name="250_Hz"/>
    <tableColumn id="6" xr3:uid="{00000000-0010-0000-0300-000006000000}" name="500_Hz"/>
    <tableColumn id="7" xr3:uid="{00000000-0010-0000-0300-000007000000}" name="1000_Hz"/>
    <tableColumn id="8" xr3:uid="{00000000-0010-0000-0300-000008000000}" name="2000_Hz"/>
    <tableColumn id="9" xr3:uid="{00000000-0010-0000-0300-000009000000}" name="4000_Hz"/>
    <tableColumn id="10" xr3:uid="{00000000-0010-0000-0300-00000A000000}" name="8000_Hz"/>
    <tableColumn id="11" xr3:uid="{00000000-0010-0000-0300-00000B000000}" name="LWA_dBA"/>
    <tableColumn id="12" xr3:uid="{00000000-0010-0000-0300-00000C000000}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RowHeight="14"/>
  <cols>
    <col min="1" max="1" width="24" customWidth="1"/>
    <col min="2" max="2" width="28" customWidth="1"/>
    <col min="3" max="3" width="4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/>
    </row>
    <row r="4" spans="1:3">
      <c r="A4" s="2" t="s">
        <v>8</v>
      </c>
      <c r="B4" s="2" t="s">
        <v>9</v>
      </c>
      <c r="C4" s="2"/>
    </row>
    <row r="5" spans="1:3">
      <c r="A5" s="2" t="s">
        <v>10</v>
      </c>
      <c r="B5" s="2" t="s">
        <v>11</v>
      </c>
      <c r="C5" s="2"/>
    </row>
    <row r="6" spans="1:3">
      <c r="A6" s="2" t="s">
        <v>12</v>
      </c>
      <c r="B6" s="2" t="s">
        <v>13</v>
      </c>
      <c r="C6" s="2" t="s">
        <v>14</v>
      </c>
    </row>
    <row r="7" spans="1:3">
      <c r="A7" s="2" t="s">
        <v>15</v>
      </c>
      <c r="B7" s="2" t="s">
        <v>16</v>
      </c>
      <c r="C7" s="2" t="s">
        <v>14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 t="s">
        <v>21</v>
      </c>
      <c r="C9" s="2" t="s">
        <v>22</v>
      </c>
    </row>
    <row r="10" spans="1:3">
      <c r="A10" s="2" t="s">
        <v>23</v>
      </c>
      <c r="B10" s="2" t="s">
        <v>24</v>
      </c>
      <c r="C10" s="2" t="s">
        <v>25</v>
      </c>
    </row>
    <row r="11" spans="1:3" ht="28">
      <c r="A11" s="2" t="s">
        <v>26</v>
      </c>
      <c r="B11" s="2" t="s">
        <v>27</v>
      </c>
      <c r="C11" s="2" t="s">
        <v>28</v>
      </c>
    </row>
    <row r="12" spans="1:3">
      <c r="A12" s="2" t="s">
        <v>29</v>
      </c>
      <c r="B12" s="2">
        <v>1300</v>
      </c>
      <c r="C12" s="2" t="s">
        <v>30</v>
      </c>
    </row>
    <row r="13" spans="1:3">
      <c r="A13" s="2" t="s">
        <v>31</v>
      </c>
      <c r="B13" s="2">
        <v>424.2</v>
      </c>
      <c r="C13" s="2" t="s">
        <v>30</v>
      </c>
    </row>
    <row r="14" spans="1:3">
      <c r="A14" s="2" t="s">
        <v>32</v>
      </c>
      <c r="B14" s="2">
        <v>3.0640000000000001</v>
      </c>
      <c r="C14" s="2" t="s">
        <v>33</v>
      </c>
    </row>
    <row r="15" spans="1:3">
      <c r="A15" s="2" t="s">
        <v>34</v>
      </c>
      <c r="B15" s="2">
        <v>8.9290000000000003</v>
      </c>
      <c r="C15" s="2" t="s">
        <v>33</v>
      </c>
    </row>
    <row r="16" spans="1:3">
      <c r="A16" s="2" t="s">
        <v>35</v>
      </c>
      <c r="B16" s="2" t="s">
        <v>36</v>
      </c>
      <c r="C16" s="2"/>
    </row>
    <row r="17" spans="1:3">
      <c r="A17" s="2" t="s">
        <v>37</v>
      </c>
      <c r="B17" s="2">
        <v>1</v>
      </c>
      <c r="C17" s="2"/>
    </row>
    <row r="18" spans="1:3">
      <c r="A18" s="2" t="s">
        <v>38</v>
      </c>
      <c r="B18" s="2" t="s">
        <v>39</v>
      </c>
      <c r="C18" s="2"/>
    </row>
    <row r="19" spans="1:3">
      <c r="A19" s="2" t="s">
        <v>40</v>
      </c>
      <c r="B19" s="2" t="s">
        <v>41</v>
      </c>
      <c r="C19" s="2"/>
    </row>
    <row r="20" spans="1:3" ht="28">
      <c r="A20" s="2" t="s">
        <v>42</v>
      </c>
      <c r="B20" s="2">
        <v>1</v>
      </c>
      <c r="C20" s="2"/>
    </row>
    <row r="21" spans="1:3">
      <c r="A21" s="2" t="s">
        <v>43</v>
      </c>
      <c r="B21" s="2" t="s">
        <v>44</v>
      </c>
      <c r="C21" s="2"/>
    </row>
    <row r="22" spans="1:3">
      <c r="A22" s="2" t="s">
        <v>45</v>
      </c>
      <c r="B22" s="2" t="s">
        <v>46</v>
      </c>
      <c r="C22" s="2" t="s">
        <v>47</v>
      </c>
    </row>
    <row r="23" spans="1:3">
      <c r="A23" s="2" t="s">
        <v>48</v>
      </c>
      <c r="B23" s="2">
        <v>696</v>
      </c>
      <c r="C23" s="2" t="s">
        <v>49</v>
      </c>
    </row>
    <row r="24" spans="1:3">
      <c r="A24" s="2" t="s">
        <v>50</v>
      </c>
      <c r="B24" s="2">
        <v>1000</v>
      </c>
      <c r="C24" s="2" t="s">
        <v>49</v>
      </c>
    </row>
    <row r="25" spans="1:3">
      <c r="A25" s="2" t="s">
        <v>51</v>
      </c>
      <c r="B25" s="2">
        <v>571.5</v>
      </c>
      <c r="C25" s="2" t="s">
        <v>49</v>
      </c>
    </row>
    <row r="26" spans="1:3">
      <c r="A26" s="2" t="s">
        <v>52</v>
      </c>
      <c r="B26" s="2">
        <v>5</v>
      </c>
      <c r="C26" s="2" t="s">
        <v>53</v>
      </c>
    </row>
    <row r="27" spans="1:3">
      <c r="A27" s="2" t="s">
        <v>54</v>
      </c>
      <c r="B27" s="2">
        <v>388.5</v>
      </c>
      <c r="C27" s="2" t="s">
        <v>30</v>
      </c>
    </row>
    <row r="28" spans="1:3" ht="42">
      <c r="A28" s="2" t="s">
        <v>55</v>
      </c>
      <c r="B28" s="2" t="s">
        <v>56</v>
      </c>
      <c r="C28" s="2"/>
    </row>
    <row r="29" spans="1:3">
      <c r="A29" s="2" t="s">
        <v>57</v>
      </c>
      <c r="B29" s="2">
        <v>20</v>
      </c>
      <c r="C29" s="2"/>
    </row>
    <row r="30" spans="1:3">
      <c r="A30" s="2" t="s">
        <v>58</v>
      </c>
      <c r="B30" s="2">
        <v>35.79</v>
      </c>
      <c r="C30" s="2" t="s">
        <v>30</v>
      </c>
    </row>
    <row r="31" spans="1:3">
      <c r="A31" s="2" t="s">
        <v>59</v>
      </c>
      <c r="B31" s="2">
        <v>140</v>
      </c>
      <c r="C31" s="2" t="s">
        <v>60</v>
      </c>
    </row>
    <row r="32" spans="1:3">
      <c r="A32" s="2" t="s">
        <v>61</v>
      </c>
      <c r="B32" s="2">
        <v>97.5</v>
      </c>
      <c r="C32" s="2" t="s">
        <v>62</v>
      </c>
    </row>
    <row r="33" spans="1:3">
      <c r="A33" s="2" t="s">
        <v>63</v>
      </c>
      <c r="B33" s="2">
        <v>10884</v>
      </c>
      <c r="C33" s="2" t="s">
        <v>64</v>
      </c>
    </row>
    <row r="34" spans="1:3">
      <c r="A34" s="2" t="s">
        <v>65</v>
      </c>
      <c r="B34" s="2">
        <v>11203</v>
      </c>
      <c r="C34" s="2" t="s">
        <v>64</v>
      </c>
    </row>
    <row r="35" spans="1:3">
      <c r="A35" s="2" t="s">
        <v>66</v>
      </c>
      <c r="B35" s="2">
        <v>340</v>
      </c>
      <c r="C35" s="2" t="s">
        <v>64</v>
      </c>
    </row>
    <row r="36" spans="1:3">
      <c r="A36" s="2" t="s">
        <v>67</v>
      </c>
      <c r="B36" s="2">
        <v>11887</v>
      </c>
      <c r="C36" s="2" t="s">
        <v>68</v>
      </c>
    </row>
    <row r="37" spans="1:3">
      <c r="A37" s="2" t="s">
        <v>69</v>
      </c>
      <c r="B37" s="2">
        <v>2235</v>
      </c>
      <c r="C37" s="2" t="s">
        <v>68</v>
      </c>
    </row>
    <row r="38" spans="1:3">
      <c r="A38" s="2" t="s">
        <v>70</v>
      </c>
      <c r="B38" s="2">
        <v>2503</v>
      </c>
      <c r="C38" s="2" t="s">
        <v>68</v>
      </c>
    </row>
    <row r="39" spans="1:3" ht="28">
      <c r="A39" s="2" t="s">
        <v>71</v>
      </c>
      <c r="B39" s="2" t="s">
        <v>72</v>
      </c>
      <c r="C39" s="2" t="s">
        <v>73</v>
      </c>
    </row>
    <row r="40" spans="1:3" ht="28">
      <c r="A40" s="2" t="s">
        <v>74</v>
      </c>
      <c r="B40" s="2" t="s">
        <v>75</v>
      </c>
      <c r="C40" s="2"/>
    </row>
    <row r="41" spans="1:3" ht="28">
      <c r="A41" s="2" t="s">
        <v>76</v>
      </c>
      <c r="B41" s="2" t="s">
        <v>77</v>
      </c>
      <c r="C41" s="2"/>
    </row>
    <row r="42" spans="1:3">
      <c r="A42" s="2" t="s">
        <v>78</v>
      </c>
      <c r="B42" s="2" t="s">
        <v>79</v>
      </c>
      <c r="C4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/>
  </sheetViews>
  <sheetFormatPr defaultRowHeight="14"/>
  <cols>
    <col min="1" max="1" width="24" customWidth="1"/>
    <col min="2" max="2" width="28" customWidth="1"/>
    <col min="3" max="3" width="42" customWidth="1"/>
  </cols>
  <sheetData>
    <row r="1" spans="1:3">
      <c r="A1" s="1" t="s">
        <v>0</v>
      </c>
      <c r="B1" s="1" t="s">
        <v>1</v>
      </c>
      <c r="C1" s="1" t="s">
        <v>80</v>
      </c>
    </row>
    <row r="2" spans="1:3">
      <c r="A2" s="2" t="s">
        <v>81</v>
      </c>
      <c r="B2" s="2" t="s">
        <v>4</v>
      </c>
      <c r="C2" s="2" t="s">
        <v>82</v>
      </c>
    </row>
    <row r="3" spans="1:3">
      <c r="A3" s="2" t="s">
        <v>83</v>
      </c>
      <c r="B3" s="2" t="s">
        <v>84</v>
      </c>
      <c r="C3" s="2" t="s">
        <v>85</v>
      </c>
    </row>
    <row r="4" spans="1:3">
      <c r="A4" s="2" t="s">
        <v>86</v>
      </c>
      <c r="B4" s="2" t="s">
        <v>9</v>
      </c>
      <c r="C4" s="2"/>
    </row>
    <row r="5" spans="1:3">
      <c r="A5" s="2" t="s">
        <v>87</v>
      </c>
      <c r="B5" s="2" t="s">
        <v>11</v>
      </c>
      <c r="C5" s="2"/>
    </row>
    <row r="6" spans="1:3">
      <c r="A6" s="2" t="s">
        <v>88</v>
      </c>
      <c r="B6" s="2" t="s">
        <v>89</v>
      </c>
      <c r="C6" s="2" t="s">
        <v>90</v>
      </c>
    </row>
    <row r="7" spans="1:3">
      <c r="A7" s="2" t="s">
        <v>91</v>
      </c>
      <c r="B7" s="2">
        <v>1.5</v>
      </c>
      <c r="C7" s="2" t="s">
        <v>92</v>
      </c>
    </row>
    <row r="8" spans="1:3">
      <c r="A8" s="2" t="s">
        <v>93</v>
      </c>
      <c r="B8" s="2" t="s">
        <v>94</v>
      </c>
      <c r="C8" s="2"/>
    </row>
    <row r="9" spans="1:3">
      <c r="A9" s="2" t="s">
        <v>95</v>
      </c>
      <c r="B9" s="2" t="s">
        <v>96</v>
      </c>
      <c r="C9" s="2"/>
    </row>
    <row r="10" spans="1:3">
      <c r="A10" s="2" t="s">
        <v>97</v>
      </c>
      <c r="B10" s="2" t="s">
        <v>98</v>
      </c>
      <c r="C10" s="2"/>
    </row>
    <row r="11" spans="1:3">
      <c r="A11" s="2" t="s">
        <v>99</v>
      </c>
      <c r="B11" s="2">
        <v>46.1</v>
      </c>
      <c r="C11" s="2"/>
    </row>
    <row r="12" spans="1:3">
      <c r="A12" s="2" t="s">
        <v>100</v>
      </c>
      <c r="B12" s="2">
        <v>1300</v>
      </c>
      <c r="C12" s="2"/>
    </row>
    <row r="13" spans="1:3">
      <c r="A13" s="2" t="s">
        <v>101</v>
      </c>
      <c r="B13" s="2">
        <v>424.2</v>
      </c>
      <c r="C13" s="2"/>
    </row>
    <row r="14" spans="1:3">
      <c r="A14" s="2" t="s">
        <v>102</v>
      </c>
      <c r="B14" s="2">
        <v>3.0640000000000001</v>
      </c>
      <c r="C14" s="2"/>
    </row>
    <row r="15" spans="1:3">
      <c r="A15" s="2" t="s">
        <v>103</v>
      </c>
      <c r="B15" s="2" t="s">
        <v>104</v>
      </c>
      <c r="C15" s="2" t="s">
        <v>105</v>
      </c>
    </row>
    <row r="16" spans="1:3">
      <c r="A16" s="2" t="s">
        <v>106</v>
      </c>
      <c r="B16" s="2" t="s">
        <v>107</v>
      </c>
      <c r="C16" s="2"/>
    </row>
    <row r="17" spans="1:3">
      <c r="A17" s="2" t="s">
        <v>108</v>
      </c>
      <c r="B17" s="2" t="s">
        <v>109</v>
      </c>
      <c r="C1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/>
  </sheetViews>
  <sheetFormatPr defaultRowHeight="14"/>
  <cols>
    <col min="1" max="8" width="18" customWidth="1"/>
  </cols>
  <sheetData>
    <row r="1" spans="1:8" ht="28">
      <c r="A1" s="1" t="s">
        <v>110</v>
      </c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 ht="28">
      <c r="A2" s="3">
        <v>100</v>
      </c>
      <c r="B2" s="3">
        <v>46.1</v>
      </c>
      <c r="C2" s="3">
        <v>1300</v>
      </c>
      <c r="D2" s="3">
        <v>424.2</v>
      </c>
      <c r="E2" s="3">
        <v>3.0640000000000001</v>
      </c>
      <c r="F2" s="3">
        <v>571.5</v>
      </c>
      <c r="G2" s="2">
        <v>2</v>
      </c>
      <c r="H2" s="2" t="s">
        <v>118</v>
      </c>
    </row>
    <row r="3" spans="1:8" ht="28">
      <c r="A3" s="3">
        <v>75</v>
      </c>
      <c r="B3" s="3">
        <v>33.6</v>
      </c>
      <c r="C3" s="3">
        <v>974.9</v>
      </c>
      <c r="D3" s="3">
        <v>189.6</v>
      </c>
      <c r="E3" s="3">
        <v>5.1429999999999998</v>
      </c>
      <c r="F3" s="3">
        <v>109.5</v>
      </c>
      <c r="G3" s="2">
        <v>2</v>
      </c>
      <c r="H3" s="2" t="s">
        <v>118</v>
      </c>
    </row>
    <row r="4" spans="1:8" ht="28">
      <c r="A4" s="3">
        <v>50</v>
      </c>
      <c r="B4" s="3">
        <v>21.1</v>
      </c>
      <c r="C4" s="3">
        <v>649.9</v>
      </c>
      <c r="D4" s="3">
        <v>65.69</v>
      </c>
      <c r="E4" s="3">
        <v>9.8960000000000008</v>
      </c>
      <c r="F4" s="3">
        <v>93.5</v>
      </c>
      <c r="G4" s="2">
        <v>2</v>
      </c>
      <c r="H4" s="2" t="s">
        <v>118</v>
      </c>
    </row>
    <row r="5" spans="1:8" ht="28">
      <c r="A5" s="3">
        <v>25</v>
      </c>
      <c r="B5" s="3">
        <v>12.8</v>
      </c>
      <c r="C5" s="3">
        <v>325</v>
      </c>
      <c r="D5" s="3">
        <v>17.059999999999999</v>
      </c>
      <c r="E5" s="3">
        <v>19.04</v>
      </c>
      <c r="F5" s="3">
        <v>90.5</v>
      </c>
      <c r="G5" s="2">
        <v>2</v>
      </c>
      <c r="H5" s="2" t="s">
        <v>118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"/>
  <sheetViews>
    <sheetView workbookViewId="0"/>
  </sheetViews>
  <sheetFormatPr defaultRowHeight="14"/>
  <cols>
    <col min="1" max="10" width="18" customWidth="1"/>
  </cols>
  <sheetData>
    <row r="1" spans="1:10" ht="28">
      <c r="A1" s="1" t="s">
        <v>119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120</v>
      </c>
      <c r="G1" s="1" t="s">
        <v>121</v>
      </c>
      <c r="H1" s="1" t="s">
        <v>115</v>
      </c>
      <c r="I1" s="1" t="s">
        <v>122</v>
      </c>
      <c r="J1" s="1" t="s">
        <v>123</v>
      </c>
    </row>
    <row r="2" spans="1:10" ht="28">
      <c r="A2" s="4">
        <v>1</v>
      </c>
      <c r="B2" s="4">
        <v>100</v>
      </c>
      <c r="C2" s="4">
        <v>46.1</v>
      </c>
      <c r="D2" s="4">
        <v>1300</v>
      </c>
      <c r="E2" s="4">
        <v>424.2</v>
      </c>
      <c r="F2" s="4">
        <v>3.0640000000000001</v>
      </c>
      <c r="G2" s="4">
        <f>D2/E2</f>
        <v>3.0645921735030646</v>
      </c>
      <c r="H2" s="4">
        <v>571.5</v>
      </c>
      <c r="I2" s="2" t="s">
        <v>124</v>
      </c>
      <c r="J2" s="2" t="s">
        <v>125</v>
      </c>
    </row>
    <row r="3" spans="1:10" ht="28">
      <c r="A3" s="4">
        <v>0.75</v>
      </c>
      <c r="B3" s="4">
        <v>75</v>
      </c>
      <c r="C3" s="4">
        <v>33.6</v>
      </c>
      <c r="D3" s="4">
        <v>974.9</v>
      </c>
      <c r="E3" s="4">
        <v>189.6</v>
      </c>
      <c r="F3" s="4">
        <v>5.1429999999999998</v>
      </c>
      <c r="G3" s="4">
        <f>D3/E3</f>
        <v>5.1418776371308015</v>
      </c>
      <c r="H3" s="4">
        <v>109.5</v>
      </c>
      <c r="I3" s="2" t="s">
        <v>124</v>
      </c>
      <c r="J3" s="2" t="s">
        <v>125</v>
      </c>
    </row>
    <row r="4" spans="1:10" ht="28">
      <c r="A4" s="4">
        <v>0.5</v>
      </c>
      <c r="B4" s="4">
        <v>50</v>
      </c>
      <c r="C4" s="4">
        <v>21.1</v>
      </c>
      <c r="D4" s="4">
        <v>649.9</v>
      </c>
      <c r="E4" s="4">
        <v>65.69</v>
      </c>
      <c r="F4" s="4">
        <v>9.8960000000000008</v>
      </c>
      <c r="G4" s="4">
        <f>D4/E4</f>
        <v>9.8934388795859345</v>
      </c>
      <c r="H4" s="4">
        <v>93.5</v>
      </c>
      <c r="I4" s="2" t="s">
        <v>124</v>
      </c>
      <c r="J4" s="2" t="s">
        <v>125</v>
      </c>
    </row>
    <row r="5" spans="1:10" ht="28">
      <c r="A5" s="4">
        <v>0.25</v>
      </c>
      <c r="B5" s="4">
        <v>25</v>
      </c>
      <c r="C5" s="4">
        <v>12.8</v>
      </c>
      <c r="D5" s="4">
        <v>325</v>
      </c>
      <c r="E5" s="4">
        <v>17.059999999999999</v>
      </c>
      <c r="F5" s="4">
        <v>19.04</v>
      </c>
      <c r="G5" s="4">
        <f>D5/E5</f>
        <v>19.050410316529895</v>
      </c>
      <c r="H5" s="4">
        <v>90.5</v>
      </c>
      <c r="I5" s="2" t="s">
        <v>124</v>
      </c>
      <c r="J5" s="2" t="s">
        <v>125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defaultRowHeight="14"/>
  <cols>
    <col min="1" max="4" width="18" customWidth="1"/>
  </cols>
  <sheetData>
    <row r="1" spans="1:4">
      <c r="A1" s="1" t="s">
        <v>126</v>
      </c>
      <c r="B1" s="1" t="s">
        <v>127</v>
      </c>
      <c r="C1" s="1" t="s">
        <v>1</v>
      </c>
      <c r="D1" s="1" t="s">
        <v>2</v>
      </c>
    </row>
    <row r="2" spans="1:4">
      <c r="A2" s="2" t="s">
        <v>128</v>
      </c>
      <c r="B2" s="2" t="s">
        <v>129</v>
      </c>
      <c r="C2" s="3" t="s">
        <v>130</v>
      </c>
      <c r="D2" s="2"/>
    </row>
    <row r="3" spans="1:4" ht="28">
      <c r="A3" s="2" t="s">
        <v>128</v>
      </c>
      <c r="B3" s="2" t="s">
        <v>131</v>
      </c>
      <c r="C3" s="3">
        <v>25</v>
      </c>
      <c r="D3" s="2" t="s">
        <v>132</v>
      </c>
    </row>
    <row r="4" spans="1:4" ht="28">
      <c r="A4" s="2" t="s">
        <v>128</v>
      </c>
      <c r="B4" s="2" t="s">
        <v>133</v>
      </c>
      <c r="C4" s="3">
        <v>17</v>
      </c>
      <c r="D4" s="2" t="s">
        <v>132</v>
      </c>
    </row>
    <row r="5" spans="1:4">
      <c r="A5" s="2" t="s">
        <v>128</v>
      </c>
      <c r="B5" s="2" t="s">
        <v>134</v>
      </c>
      <c r="C5" s="3">
        <v>40.659999999999997</v>
      </c>
      <c r="D5" s="2" t="s">
        <v>135</v>
      </c>
    </row>
    <row r="6" spans="1:4">
      <c r="A6" s="2" t="s">
        <v>128</v>
      </c>
      <c r="B6" s="2" t="s">
        <v>136</v>
      </c>
      <c r="C6" s="3">
        <v>1.7600000000000001E-2</v>
      </c>
      <c r="D6" s="2" t="s">
        <v>137</v>
      </c>
    </row>
    <row r="7" spans="1:4" ht="28">
      <c r="A7" s="2" t="s">
        <v>128</v>
      </c>
      <c r="B7" s="2" t="s">
        <v>138</v>
      </c>
      <c r="C7" s="3" t="s">
        <v>139</v>
      </c>
      <c r="D7" s="2" t="s">
        <v>140</v>
      </c>
    </row>
    <row r="8" spans="1:4">
      <c r="A8" s="2" t="s">
        <v>128</v>
      </c>
      <c r="B8" s="2" t="s">
        <v>141</v>
      </c>
      <c r="C8" s="3">
        <v>2</v>
      </c>
      <c r="D8" s="2"/>
    </row>
    <row r="9" spans="1:4">
      <c r="A9" s="2" t="s">
        <v>128</v>
      </c>
      <c r="B9" s="2" t="s">
        <v>142</v>
      </c>
      <c r="C9" s="3">
        <v>53.8</v>
      </c>
      <c r="D9" s="2" t="s">
        <v>143</v>
      </c>
    </row>
    <row r="10" spans="1:4">
      <c r="A10" s="2" t="s">
        <v>128</v>
      </c>
      <c r="B10" s="2" t="s">
        <v>144</v>
      </c>
      <c r="C10" s="3">
        <v>24.24</v>
      </c>
      <c r="D10" s="2" t="s">
        <v>135</v>
      </c>
    </row>
    <row r="11" spans="1:4">
      <c r="A11" s="2" t="s">
        <v>128</v>
      </c>
      <c r="B11" s="2" t="s">
        <v>145</v>
      </c>
      <c r="C11" s="3">
        <v>66.180000000000007</v>
      </c>
      <c r="D11" s="2" t="s">
        <v>135</v>
      </c>
    </row>
    <row r="12" spans="1:4" ht="28">
      <c r="A12" s="2" t="s">
        <v>146</v>
      </c>
      <c r="B12" s="2" t="s">
        <v>147</v>
      </c>
      <c r="C12" s="3">
        <v>46.1</v>
      </c>
      <c r="D12" s="2" t="s">
        <v>132</v>
      </c>
    </row>
    <row r="13" spans="1:4" ht="28">
      <c r="A13" s="2" t="s">
        <v>146</v>
      </c>
      <c r="B13" s="2" t="s">
        <v>148</v>
      </c>
      <c r="C13" s="3">
        <v>1000</v>
      </c>
      <c r="D13" s="2" t="s">
        <v>149</v>
      </c>
    </row>
    <row r="14" spans="1:4" ht="28">
      <c r="A14" s="2" t="s">
        <v>146</v>
      </c>
      <c r="B14" s="2" t="s">
        <v>150</v>
      </c>
      <c r="C14" s="3">
        <v>20</v>
      </c>
      <c r="D14" s="2"/>
    </row>
    <row r="15" spans="1:4" ht="28">
      <c r="A15" s="2" t="s">
        <v>146</v>
      </c>
      <c r="B15" s="2" t="s">
        <v>59</v>
      </c>
      <c r="C15" s="3">
        <v>140</v>
      </c>
      <c r="D15" s="2" t="s">
        <v>60</v>
      </c>
    </row>
    <row r="16" spans="1:4" ht="28">
      <c r="A16" s="2" t="s">
        <v>146</v>
      </c>
      <c r="B16" s="2" t="s">
        <v>58</v>
      </c>
      <c r="C16" s="3">
        <v>35.79</v>
      </c>
      <c r="D16" s="2" t="s">
        <v>30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/>
  </sheetViews>
  <sheetFormatPr defaultRowHeight="14"/>
  <cols>
    <col min="1" max="12" width="12" customWidth="1"/>
  </cols>
  <sheetData>
    <row r="1" spans="1:12">
      <c r="A1" s="1" t="s">
        <v>110</v>
      </c>
      <c r="B1" s="1" t="s">
        <v>111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116</v>
      </c>
    </row>
    <row r="2" spans="1:12">
      <c r="A2" s="5">
        <v>100</v>
      </c>
      <c r="B2" s="5">
        <v>46.1</v>
      </c>
      <c r="C2" s="5">
        <v>103.5</v>
      </c>
      <c r="D2" s="5">
        <v>96.5</v>
      </c>
      <c r="E2" s="5">
        <v>96.5</v>
      </c>
      <c r="F2" s="5">
        <v>93.5</v>
      </c>
      <c r="G2" s="5">
        <v>92</v>
      </c>
      <c r="H2" s="5">
        <v>87.5</v>
      </c>
      <c r="I2" s="5">
        <v>89.5</v>
      </c>
      <c r="J2" s="5">
        <v>87.5</v>
      </c>
      <c r="K2" s="5">
        <v>97.5</v>
      </c>
      <c r="L2" s="5">
        <v>3</v>
      </c>
    </row>
    <row r="3" spans="1:12">
      <c r="A3" s="5">
        <v>75</v>
      </c>
      <c r="B3" s="5">
        <v>33.6</v>
      </c>
      <c r="C3" s="5">
        <v>100.5</v>
      </c>
      <c r="D3" s="5">
        <v>94</v>
      </c>
      <c r="E3" s="5">
        <v>94</v>
      </c>
      <c r="F3" s="5">
        <v>91.5</v>
      </c>
      <c r="G3" s="5">
        <v>89.5</v>
      </c>
      <c r="H3" s="5">
        <v>86.5</v>
      </c>
      <c r="I3" s="5">
        <v>86</v>
      </c>
      <c r="J3" s="5">
        <v>81</v>
      </c>
      <c r="K3" s="5">
        <v>95</v>
      </c>
      <c r="L3" s="5">
        <v>3</v>
      </c>
    </row>
    <row r="4" spans="1:12">
      <c r="A4" s="5">
        <v>50</v>
      </c>
      <c r="B4" s="5">
        <v>21.1</v>
      </c>
      <c r="C4" s="5">
        <v>93.5</v>
      </c>
      <c r="D4" s="5">
        <v>87.5</v>
      </c>
      <c r="E4" s="5">
        <v>87.5</v>
      </c>
      <c r="F4" s="5">
        <v>85.5</v>
      </c>
      <c r="G4" s="5">
        <v>83.5</v>
      </c>
      <c r="H4" s="5">
        <v>81.5</v>
      </c>
      <c r="I4" s="5">
        <v>81</v>
      </c>
      <c r="J4" s="5">
        <v>75.5</v>
      </c>
      <c r="K4" s="5">
        <v>89.5</v>
      </c>
      <c r="L4" s="5">
        <v>3</v>
      </c>
    </row>
    <row r="5" spans="1:12">
      <c r="A5" s="5">
        <v>25</v>
      </c>
      <c r="B5" s="5">
        <v>12.8</v>
      </c>
      <c r="C5" s="5">
        <v>83.5</v>
      </c>
      <c r="D5" s="5">
        <v>79.5</v>
      </c>
      <c r="E5" s="5">
        <v>77</v>
      </c>
      <c r="F5" s="5">
        <v>78.5</v>
      </c>
      <c r="G5" s="5">
        <v>74.5</v>
      </c>
      <c r="H5" s="5">
        <v>77.5</v>
      </c>
      <c r="I5" s="5">
        <v>76.5</v>
      </c>
      <c r="J5" s="5">
        <v>88</v>
      </c>
      <c r="K5" s="5">
        <v>88.5</v>
      </c>
      <c r="L5" s="5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tabSelected="1" workbookViewId="0"/>
  </sheetViews>
  <sheetFormatPr defaultRowHeight="14"/>
  <cols>
    <col min="1" max="1" width="24" customWidth="1"/>
    <col min="2" max="2" width="28" customWidth="1"/>
    <col min="3" max="3" width="42" customWidth="1"/>
  </cols>
  <sheetData>
    <row r="1" spans="1:3">
      <c r="A1" s="1" t="s">
        <v>160</v>
      </c>
      <c r="B1" s="1" t="s">
        <v>161</v>
      </c>
      <c r="C1" s="1" t="s">
        <v>80</v>
      </c>
    </row>
    <row r="2" spans="1:3">
      <c r="A2" s="2" t="s">
        <v>162</v>
      </c>
      <c r="B2" s="2" t="s">
        <v>163</v>
      </c>
      <c r="C2" s="2" t="s">
        <v>164</v>
      </c>
    </row>
    <row r="3" spans="1:3">
      <c r="A3" s="2" t="s">
        <v>165</v>
      </c>
      <c r="B3" s="2" t="s">
        <v>163</v>
      </c>
      <c r="C3" s="2" t="s">
        <v>166</v>
      </c>
    </row>
    <row r="4" spans="1:3">
      <c r="A4" s="2" t="s">
        <v>167</v>
      </c>
      <c r="B4" s="2" t="s">
        <v>163</v>
      </c>
      <c r="C4" s="2" t="s">
        <v>168</v>
      </c>
    </row>
    <row r="5" spans="1:3">
      <c r="A5" s="2" t="s">
        <v>169</v>
      </c>
      <c r="B5" s="2" t="s">
        <v>163</v>
      </c>
      <c r="C5" s="2" t="s">
        <v>170</v>
      </c>
    </row>
    <row r="6" spans="1:3">
      <c r="A6" s="2" t="s">
        <v>32</v>
      </c>
      <c r="B6" s="2" t="s">
        <v>163</v>
      </c>
      <c r="C6" s="2" t="s">
        <v>171</v>
      </c>
    </row>
    <row r="7" spans="1:3" ht="28">
      <c r="A7" s="2" t="s">
        <v>172</v>
      </c>
      <c r="B7" s="2" t="s">
        <v>163</v>
      </c>
      <c r="C7" s="2" t="s">
        <v>173</v>
      </c>
    </row>
    <row r="8" spans="1:3" ht="28">
      <c r="A8" s="2" t="s">
        <v>174</v>
      </c>
      <c r="B8" s="2" t="s">
        <v>175</v>
      </c>
      <c r="C8" s="2" t="s">
        <v>176</v>
      </c>
    </row>
    <row r="9" spans="1:3">
      <c r="A9" s="2" t="s">
        <v>177</v>
      </c>
      <c r="B9" s="2" t="s">
        <v>163</v>
      </c>
      <c r="C9" s="2" t="s">
        <v>178</v>
      </c>
    </row>
    <row r="10" spans="1:3">
      <c r="A10" s="2" t="s">
        <v>179</v>
      </c>
      <c r="B10" s="2" t="s">
        <v>180</v>
      </c>
      <c r="C10" s="2" t="s">
        <v>181</v>
      </c>
    </row>
    <row r="11" spans="1:3" ht="28">
      <c r="A11" s="2" t="s">
        <v>182</v>
      </c>
      <c r="B11" s="2" t="s">
        <v>180</v>
      </c>
      <c r="C11" s="2" t="s">
        <v>183</v>
      </c>
    </row>
    <row r="12" spans="1:3">
      <c r="A12" s="2" t="s">
        <v>184</v>
      </c>
      <c r="B12" s="2" t="s">
        <v>163</v>
      </c>
      <c r="C12" s="2" t="s">
        <v>185</v>
      </c>
    </row>
    <row r="13" spans="1:3" ht="28">
      <c r="A13" s="2" t="s">
        <v>186</v>
      </c>
      <c r="B13" s="2" t="s">
        <v>187</v>
      </c>
      <c r="C13" s="2" t="s">
        <v>188</v>
      </c>
    </row>
    <row r="14" spans="1:3" ht="28">
      <c r="A14" s="2" t="s">
        <v>189</v>
      </c>
      <c r="B14" s="2" t="s">
        <v>190</v>
      </c>
      <c r="C14" s="2" t="s">
        <v>191</v>
      </c>
    </row>
  </sheetData>
  <conditionalFormatting sqref="B2:B14">
    <cfRule type="expression" dxfId="2" priority="1">
      <formula>B2="PASS"</formula>
    </cfRule>
    <cfRule type="expression" dxfId="1" priority="2">
      <formula>B2="MISSING"</formula>
    </cfRule>
    <cfRule type="expression" dxfId="0" priority="3">
      <formula>B2="PARTIAL"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Information</vt:lpstr>
      <vt:lpstr>Metadata</vt:lpstr>
      <vt:lpstr>Performance_Map</vt:lpstr>
      <vt:lpstr>Solver_Curve</vt:lpstr>
      <vt:lpstr>Heat_Exchanger</vt:lpstr>
      <vt:lpstr>Sound_Data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Luo</dc:creator>
  <cp:lastModifiedBy>Ariel Luo</cp:lastModifiedBy>
  <dcterms:created xsi:type="dcterms:W3CDTF">2026-06-30T08:01:40Z</dcterms:created>
  <dcterms:modified xsi:type="dcterms:W3CDTF">2026-06-30T08:01:40Z</dcterms:modified>
</cp:coreProperties>
</file>