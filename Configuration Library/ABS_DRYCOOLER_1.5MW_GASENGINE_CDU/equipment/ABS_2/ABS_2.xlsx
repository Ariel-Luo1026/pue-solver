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BS_COOLINGTOWER_1.5MW_GASENGINE_CDU\equipment\ABS_2\"/>
    </mc:Choice>
  </mc:AlternateContent>
  <xr:revisionPtr revIDLastSave="0" documentId="8_{6CC7B0FE-52A5-4C07-AA10-15FF5CACFF66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Water_Loops" sheetId="5" r:id="rId5"/>
    <sheet name="GA_Drawing" sheetId="6" r:id="rId6"/>
    <sheet name="Validation" sheetId="7" r:id="rId7"/>
  </sheets>
  <calcPr calcId="0"/>
</workbook>
</file>

<file path=xl/sharedStrings.xml><?xml version="1.0" encoding="utf-8"?>
<sst xmlns="http://schemas.openxmlformats.org/spreadsheetml/2006/main" count="272" uniqueCount="183">
  <si>
    <t>Field</t>
  </si>
  <si>
    <t>Value</t>
  </si>
  <si>
    <t>Unit</t>
  </si>
  <si>
    <t>Notes</t>
  </si>
  <si>
    <t>Equipment ID</t>
  </si>
  <si>
    <t>ABS_2</t>
  </si>
  <si>
    <t>Internal registry ID</t>
  </si>
  <si>
    <t>Equipment Type</t>
  </si>
  <si>
    <t>Absorption Chiller</t>
  </si>
  <si>
    <t>Single-effect hot water type</t>
  </si>
  <si>
    <t>Manufacturer</t>
  </si>
  <si>
    <t>YORK (Wuxi) Air Conditioning and Refrigeration Co., Ltd.</t>
  </si>
  <si>
    <t>From datasheet</t>
  </si>
  <si>
    <t>Manufacturer Model</t>
  </si>
  <si>
    <t>YHAU-CL500EXE-B</t>
  </si>
  <si>
    <t>Package Version</t>
  </si>
  <si>
    <t>v2.0</t>
  </si>
  <si>
    <t>Equipment Package v2.0</t>
  </si>
  <si>
    <t>Data Confidence</t>
  </si>
  <si>
    <t>Medium</t>
  </si>
  <si>
    <t>Datasheet + GA drawing; no part-load performance map</t>
  </si>
  <si>
    <t>Cooling Capacity</t>
  </si>
  <si>
    <t>kW</t>
  </si>
  <si>
    <t>Rated cooling capacity</t>
  </si>
  <si>
    <t>USRT</t>
  </si>
  <si>
    <t>COP</t>
  </si>
  <si>
    <t>kW/kW</t>
  </si>
  <si>
    <t>Rated single-effect hot water COP</t>
  </si>
  <si>
    <t>Capacity Control Range</t>
  </si>
  <si>
    <t>100 to approx. 20%</t>
  </si>
  <si>
    <t>Power Source</t>
  </si>
  <si>
    <t>3 AC 380 V ±10%, 50 Hz ±1Hz</t>
  </si>
  <si>
    <t>Power Consumption</t>
  </si>
  <si>
    <t>Total electric power consumption</t>
  </si>
  <si>
    <t>Electrical Capacity</t>
  </si>
  <si>
    <t>kVA</t>
  </si>
  <si>
    <t>Operating Weight</t>
  </si>
  <si>
    <t>ton</t>
  </si>
  <si>
    <t>Shipping Weight</t>
  </si>
  <si>
    <t>Overall Length</t>
  </si>
  <si>
    <t>mm</t>
  </si>
  <si>
    <t>Datasheet reference dimension</t>
  </si>
  <si>
    <t>Overall Width</t>
  </si>
  <si>
    <t>Overall Height</t>
  </si>
  <si>
    <t>Tube Extracting Space</t>
  </si>
  <si>
    <t>Datasheet</t>
  </si>
  <si>
    <t>Application</t>
  </si>
  <si>
    <t>General Air-Conditioning</t>
  </si>
  <si>
    <t>Installation Condition</t>
  </si>
  <si>
    <t>Indoors / Non-Explosion-Proof</t>
  </si>
  <si>
    <t>Evaporator Tube</t>
  </si>
  <si>
    <t>Copper Tube, 0.8 mm thickness</t>
  </si>
  <si>
    <t>Absorber/Condenser Tube</t>
  </si>
  <si>
    <t>SUS316L Tube, 0.8 mm thickness</t>
  </si>
  <si>
    <t>Pressure Vessel (GB Code)</t>
  </si>
  <si>
    <t>Not Applicable</t>
  </si>
  <si>
    <t>Source Datasheet</t>
  </si>
  <si>
    <t>Dta sheet_YHAU-CL500EXE-BABS.pdf</t>
  </si>
  <si>
    <t>Uploaded PDF</t>
  </si>
  <si>
    <t>Source GA Drawing</t>
  </si>
  <si>
    <t>Reference GA drawing_YHAU-CL500EXE(L)-BABS.pdf</t>
  </si>
  <si>
    <t>Created</t>
  </si>
  <si>
    <t>2026-06-30 09:02</t>
  </si>
  <si>
    <t>Generated by ChatGPT</t>
  </si>
  <si>
    <t>registry_id</t>
  </si>
  <si>
    <t>Internal software ID</t>
  </si>
  <si>
    <t>equipment_type</t>
  </si>
  <si>
    <t>absorption_chiller</t>
  </si>
  <si>
    <t>Used by Equipment Library</t>
  </si>
  <si>
    <t>equipment_subtype</t>
  </si>
  <si>
    <t>single_effect_hot_water</t>
  </si>
  <si>
    <t>cooling_system_family</t>
  </si>
  <si>
    <t>ABS + Dry Cooler / ABS + Cooling Tower</t>
  </si>
  <si>
    <t>Potential systems using this equipment</t>
  </si>
  <si>
    <t>cooling_unit_capacity_mw</t>
  </si>
  <si>
    <t>Expected mapping based on current registry discussion</t>
  </si>
  <si>
    <t>manufacturer</t>
  </si>
  <si>
    <t>YORK</t>
  </si>
  <si>
    <t>manufacturer_model</t>
  </si>
  <si>
    <t>rated_capacity_kW</t>
  </si>
  <si>
    <t>rated_cop</t>
  </si>
  <si>
    <t>rated_electric_power_kW</t>
  </si>
  <si>
    <t>Auxiliary/pump electric consumption</t>
  </si>
  <si>
    <t>solver_readiness</t>
  </si>
  <si>
    <t>Partial</t>
  </si>
  <si>
    <t>Can be used as rated-point model; part-load map missing</t>
  </si>
  <si>
    <t>required_for_pue</t>
  </si>
  <si>
    <t>Yes</t>
  </si>
  <si>
    <t>ABS heat input and auxiliary power affect PUE</t>
  </si>
  <si>
    <t>source_type</t>
  </si>
  <si>
    <t>datasheet + GA drawing</t>
  </si>
  <si>
    <t>package_standard</t>
  </si>
  <si>
    <t>One equipment folder, one Excel</t>
  </si>
  <si>
    <t>Parameter</t>
  </si>
  <si>
    <t>Source / Notes</t>
  </si>
  <si>
    <t>Driving Hot Water Heat Input</t>
  </si>
  <si>
    <t>Datasheet amount of heat</t>
  </si>
  <si>
    <t>Cooling Water Heat Rejection</t>
  </si>
  <si>
    <t>Electric Power Consumption</t>
  </si>
  <si>
    <t>Capacity Control Minimum</t>
  </si>
  <si>
    <t>%</t>
  </si>
  <si>
    <t>Approximate</t>
  </si>
  <si>
    <t>Capacity Control Maximum</t>
  </si>
  <si>
    <t>load_ratio</t>
  </si>
  <si>
    <t>cooling_capacity_kW</t>
  </si>
  <si>
    <t>cop</t>
  </si>
  <si>
    <t>hot_water_heat_input_kW</t>
  </si>
  <si>
    <t>electric_power_kW</t>
  </si>
  <si>
    <t>cooling_water_heat_rejection_kW</t>
  </si>
  <si>
    <t>chw_flow_m3_h</t>
  </si>
  <si>
    <t>cw_flow_m3_h</t>
  </si>
  <si>
    <t>hw_flow_m3_h</t>
  </si>
  <si>
    <t>note</t>
  </si>
  <si>
    <t>Simplified proportional curve; replace with manufacturer part-load data when available</t>
  </si>
  <si>
    <t>Loop</t>
  </si>
  <si>
    <t>Fluid</t>
  </si>
  <si>
    <t>Heat kW</t>
  </si>
  <si>
    <t>Inlet Temp C</t>
  </si>
  <si>
    <t>Outlet Temp C</t>
  </si>
  <si>
    <t>Flow m3/h</t>
  </si>
  <si>
    <t>Pipe In DN</t>
  </si>
  <si>
    <t>Pipe Out DN</t>
  </si>
  <si>
    <t>Passes</t>
  </si>
  <si>
    <t>Pressure Drop kPa</t>
  </si>
  <si>
    <t>Max Working Pressure kPa.G</t>
  </si>
  <si>
    <t>Fouling Factor m2K/kW</t>
  </si>
  <si>
    <t>Chilled Water</t>
  </si>
  <si>
    <t>25wt% Propylene glycol</t>
  </si>
  <si>
    <t>Cooling output loop</t>
  </si>
  <si>
    <t>Cooling Water</t>
  </si>
  <si>
    <t>Heat rejection loop</t>
  </si>
  <si>
    <t>Driving Hot Water</t>
  </si>
  <si>
    <t>Fresh Water</t>
  </si>
  <si>
    <t>Driving heat loop</t>
  </si>
  <si>
    <t>GA Drawing Model</t>
  </si>
  <si>
    <t>YHAU-CL500EXE(L)-BABS</t>
  </si>
  <si>
    <t>GA drawing filename/title</t>
  </si>
  <si>
    <t>CHW</t>
  </si>
  <si>
    <t>Drawing legend</t>
  </si>
  <si>
    <t>CW</t>
  </si>
  <si>
    <t>HW</t>
  </si>
  <si>
    <t>Hot Water</t>
  </si>
  <si>
    <t>Max Length excluding cooling water pipe</t>
  </si>
  <si>
    <t>GA drawing</t>
  </si>
  <si>
    <t>Control Panel Max Width</t>
  </si>
  <si>
    <t>Foundation Bolt Width</t>
  </si>
  <si>
    <t>Base Width</t>
  </si>
  <si>
    <t>Maintenance Space</t>
  </si>
  <si>
    <t>Required for CHW/CW/HW water box</t>
  </si>
  <si>
    <t>GA drawing note</t>
  </si>
  <si>
    <t>Control Panel Position</t>
  </si>
  <si>
    <t>Side mounted</t>
  </si>
  <si>
    <t>Removable Pipe for Water Box Maintenance</t>
  </si>
  <si>
    <t>Required</t>
  </si>
  <si>
    <t>Check Item</t>
  </si>
  <si>
    <t>Status</t>
  </si>
  <si>
    <t>Impact</t>
  </si>
  <si>
    <t>Datasheet available</t>
  </si>
  <si>
    <t>PASS</t>
  </si>
  <si>
    <t>High</t>
  </si>
  <si>
    <t>YHAU-CL500EXE-B datasheet uploaded</t>
  </si>
  <si>
    <t>GA drawing available</t>
  </si>
  <si>
    <t>YHAU-CL500EXE(L)-BABS GA drawing uploaded</t>
  </si>
  <si>
    <t>Rated capacity</t>
  </si>
  <si>
    <t>1231 kW</t>
  </si>
  <si>
    <t>Rated COP</t>
  </si>
  <si>
    <t>0.77</t>
  </si>
  <si>
    <t>Driving hot water heat input</t>
  </si>
  <si>
    <t>1598 kW</t>
  </si>
  <si>
    <t>Cooling water heat rejection</t>
  </si>
  <si>
    <t>2829 kW</t>
  </si>
  <si>
    <t>Water flow and pressure drop</t>
  </si>
  <si>
    <t>CHW/CW/HW loops available</t>
  </si>
  <si>
    <t>Electric power consumption</t>
  </si>
  <si>
    <t>13.5 kW</t>
  </si>
  <si>
    <t>Part-load performance curve</t>
  </si>
  <si>
    <t>MISSING</t>
  </si>
  <si>
    <t>Only capacity control range given; no COP/heat input table by load</t>
  </si>
  <si>
    <t>Hourly Solver readiness</t>
  </si>
  <si>
    <t>PARTIAL</t>
  </si>
  <si>
    <t>Use simplified proportional curve until part-load map is available</t>
  </si>
  <si>
    <t>Data confidence</t>
  </si>
  <si>
    <t>Good rated point data, missing part-load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</si>
</sst>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</font>
      <fill>
        <patternFill patternType="solid">
          <bgColor rgb="FFFFE699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S2SolverCurve" displayName="ABS2SolverCurve" ref="A1:J6">
  <tableColumns count="10">
    <tableColumn id="1" xr3:uid="{00000000-0010-0000-0000-000001000000}" name="load_ratio"/>
    <tableColumn id="2" xr3:uid="{00000000-0010-0000-0000-000002000000}" name="cooling_capacity_kW"/>
    <tableColumn id="3" xr3:uid="{00000000-0010-0000-0000-000003000000}" name="cop"/>
    <tableColumn id="4" xr3:uid="{00000000-0010-0000-0000-000004000000}" name="hot_water_heat_input_kW"/>
    <tableColumn id="5" xr3:uid="{00000000-0010-0000-0000-000005000000}" name="electric_power_kW"/>
    <tableColumn id="6" xr3:uid="{00000000-0010-0000-0000-000006000000}" name="cooling_water_heat_rejection_kW"/>
    <tableColumn id="7" xr3:uid="{00000000-0010-0000-0000-000007000000}" name="chw_flow_m3_h"/>
    <tableColumn id="8" xr3:uid="{00000000-0010-0000-0000-000008000000}" name="cw_flow_m3_h"/>
    <tableColumn id="9" xr3:uid="{00000000-0010-0000-0000-000009000000}" name="hw_flow_m3_h"/>
    <tableColumn id="10" xr3:uid="{00000000-0010-0000-0000-00000A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BS2WaterLoops" displayName="ABS2WaterLoops" ref="A1:M4">
  <tableColumns count="13">
    <tableColumn id="1" xr3:uid="{00000000-0010-0000-0100-000001000000}" name="Loop"/>
    <tableColumn id="2" xr3:uid="{00000000-0010-0000-0100-000002000000}" name="Fluid"/>
    <tableColumn id="3" xr3:uid="{00000000-0010-0000-0100-000003000000}" name="Heat kW"/>
    <tableColumn id="4" xr3:uid="{00000000-0010-0000-0100-000004000000}" name="Inlet Temp C"/>
    <tableColumn id="5" xr3:uid="{00000000-0010-0000-0100-000005000000}" name="Outlet Temp C"/>
    <tableColumn id="6" xr3:uid="{00000000-0010-0000-0100-000006000000}" name="Flow m3/h"/>
    <tableColumn id="7" xr3:uid="{00000000-0010-0000-0100-000007000000}" name="Pipe In DN"/>
    <tableColumn id="8" xr3:uid="{00000000-0010-0000-0100-000008000000}" name="Pipe Out DN"/>
    <tableColumn id="9" xr3:uid="{00000000-0010-0000-0100-000009000000}" name="Passes"/>
    <tableColumn id="10" xr3:uid="{00000000-0010-0000-0100-00000A000000}" name="Pressure Drop kPa"/>
    <tableColumn id="11" xr3:uid="{00000000-0010-0000-0100-00000B000000}" name="Max Working Pressure kPa.G"/>
    <tableColumn id="12" xr3:uid="{00000000-0010-0000-0100-00000C000000}" name="Fouling Factor m2K/kW"/>
    <tableColumn id="13" xr3:uid="{00000000-0010-0000-01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/>
  </sheetViews>
  <sheetFormatPr defaultRowHeight="14"/>
  <cols>
    <col min="1" max="1" width="20.6640625" customWidth="1"/>
    <col min="2" max="2" width="34" customWidth="1"/>
    <col min="3" max="3" width="6.25" customWidth="1"/>
    <col min="4" max="4" width="42.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</v>
      </c>
      <c r="B2" s="2" t="s">
        <v>5</v>
      </c>
      <c r="C2" s="2"/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7</v>
      </c>
      <c r="B3" s="2" t="s">
        <v>8</v>
      </c>
      <c r="C3" s="2"/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">
      <c r="A4" s="3" t="s">
        <v>10</v>
      </c>
      <c r="B4" s="2" t="s">
        <v>11</v>
      </c>
      <c r="C4" s="2"/>
      <c r="D4" s="2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13</v>
      </c>
      <c r="B5" s="2" t="s">
        <v>14</v>
      </c>
      <c r="C5" s="2"/>
      <c r="D5" s="2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15</v>
      </c>
      <c r="B6" s="2" t="s">
        <v>16</v>
      </c>
      <c r="C6" s="2"/>
      <c r="D6" s="2" t="s">
        <v>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3" t="s">
        <v>18</v>
      </c>
      <c r="B7" s="2" t="s">
        <v>19</v>
      </c>
      <c r="C7" s="2"/>
      <c r="D7" s="2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21</v>
      </c>
      <c r="B8" s="2">
        <v>1231</v>
      </c>
      <c r="C8" s="2" t="s">
        <v>22</v>
      </c>
      <c r="D8" s="2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21</v>
      </c>
      <c r="B9" s="2">
        <v>350</v>
      </c>
      <c r="C9" s="2" t="s">
        <v>24</v>
      </c>
      <c r="D9" s="2" t="s">
        <v>23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">
      <c r="A10" s="3" t="s">
        <v>25</v>
      </c>
      <c r="B10" s="2">
        <v>0.77</v>
      </c>
      <c r="C10" s="2" t="s">
        <v>26</v>
      </c>
      <c r="D10" s="2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>
      <c r="A11" s="3" t="s">
        <v>28</v>
      </c>
      <c r="B11" s="2" t="s">
        <v>29</v>
      </c>
      <c r="C11" s="2"/>
      <c r="D11" s="2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30</v>
      </c>
      <c r="B12" s="2" t="s">
        <v>31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32</v>
      </c>
      <c r="B13" s="2">
        <v>13.5</v>
      </c>
      <c r="C13" s="2" t="s">
        <v>22</v>
      </c>
      <c r="D13" s="2" t="s">
        <v>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34</v>
      </c>
      <c r="B14" s="2">
        <v>16.899999999999999</v>
      </c>
      <c r="C14" s="2" t="s">
        <v>35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36</v>
      </c>
      <c r="B15" s="2">
        <v>24</v>
      </c>
      <c r="C15" s="2" t="s">
        <v>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38</v>
      </c>
      <c r="B16" s="2">
        <v>19.5</v>
      </c>
      <c r="C16" s="2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39</v>
      </c>
      <c r="B17" s="2">
        <v>7000</v>
      </c>
      <c r="C17" s="2" t="s">
        <v>40</v>
      </c>
      <c r="D17" s="2" t="s">
        <v>41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42</v>
      </c>
      <c r="B18" s="2">
        <v>2320</v>
      </c>
      <c r="C18" s="2" t="s">
        <v>40</v>
      </c>
      <c r="D18" s="2" t="s">
        <v>41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43</v>
      </c>
      <c r="B19" s="2">
        <v>3330</v>
      </c>
      <c r="C19" s="2" t="s">
        <v>40</v>
      </c>
      <c r="D19" s="2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44</v>
      </c>
      <c r="B20" s="2">
        <v>5500</v>
      </c>
      <c r="C20" s="2" t="s">
        <v>40</v>
      </c>
      <c r="D20" s="2" t="s">
        <v>45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46</v>
      </c>
      <c r="B21" s="2" t="s">
        <v>47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48</v>
      </c>
      <c r="B22" s="2" t="s">
        <v>49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50</v>
      </c>
      <c r="B23" s="2" t="s">
        <v>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">
      <c r="A24" s="3" t="s">
        <v>52</v>
      </c>
      <c r="B24" s="2" t="s">
        <v>53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">
      <c r="A25" s="3" t="s">
        <v>54</v>
      </c>
      <c r="B25" s="2" t="s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56</v>
      </c>
      <c r="B26" s="2" t="s">
        <v>57</v>
      </c>
      <c r="C26" s="2"/>
      <c r="D26" s="2" t="s">
        <v>58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">
      <c r="A27" s="3" t="s">
        <v>59</v>
      </c>
      <c r="B27" s="2" t="s">
        <v>60</v>
      </c>
      <c r="C27" s="2"/>
      <c r="D27" s="2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61</v>
      </c>
      <c r="B28" s="2" t="s">
        <v>62</v>
      </c>
      <c r="C28" s="2"/>
      <c r="D28" s="2" t="s">
        <v>63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"/>
  <cols>
    <col min="1" max="1" width="20.9140625" customWidth="1"/>
    <col min="2" max="2" width="38" customWidth="1"/>
    <col min="3" max="3" width="43" customWidth="1"/>
  </cols>
  <sheetData>
    <row r="1" spans="1:26">
      <c r="A1" s="1" t="s">
        <v>0</v>
      </c>
      <c r="B1" s="1" t="s">
        <v>1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64</v>
      </c>
      <c r="B2" s="2" t="s">
        <v>5</v>
      </c>
      <c r="C2" s="2" t="s">
        <v>65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66</v>
      </c>
      <c r="B3" s="2" t="s">
        <v>67</v>
      </c>
      <c r="C3" s="2" t="s">
        <v>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69</v>
      </c>
      <c r="B4" s="2" t="s">
        <v>70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71</v>
      </c>
      <c r="B5" s="2" t="s">
        <v>72</v>
      </c>
      <c r="C5" s="2" t="s">
        <v>73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3" t="s">
        <v>74</v>
      </c>
      <c r="B6" s="2">
        <v>1.5</v>
      </c>
      <c r="C6" s="2" t="s">
        <v>75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76</v>
      </c>
      <c r="B7" s="2" t="s">
        <v>77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78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79</v>
      </c>
      <c r="B9" s="2">
        <v>1231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80</v>
      </c>
      <c r="B10" s="2">
        <v>0.77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>
      <c r="A11" s="3" t="s">
        <v>81</v>
      </c>
      <c r="B11" s="2">
        <v>13.5</v>
      </c>
      <c r="C11" s="2" t="s">
        <v>82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">
      <c r="A12" s="3" t="s">
        <v>83</v>
      </c>
      <c r="B12" s="2" t="s">
        <v>84</v>
      </c>
      <c r="C12" s="2" t="s">
        <v>85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86</v>
      </c>
      <c r="B13" s="2" t="s">
        <v>87</v>
      </c>
      <c r="C13" s="2" t="s">
        <v>88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89</v>
      </c>
      <c r="B14" s="2" t="s">
        <v>90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91</v>
      </c>
      <c r="B15" s="2" t="s">
        <v>17</v>
      </c>
      <c r="C15" s="2" t="s">
        <v>92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"/>
  <cols>
    <col min="1" max="1" width="22.9140625" customWidth="1"/>
    <col min="2" max="2" width="4.75" customWidth="1"/>
    <col min="3" max="3" width="6.25" customWidth="1"/>
    <col min="4" max="4" width="42" customWidth="1"/>
  </cols>
  <sheetData>
    <row r="1" spans="1:26" ht="28">
      <c r="A1" s="1" t="s">
        <v>93</v>
      </c>
      <c r="B1" s="1" t="s">
        <v>1</v>
      </c>
      <c r="C1" s="1" t="s">
        <v>2</v>
      </c>
      <c r="D1" s="1" t="s">
        <v>94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21</v>
      </c>
      <c r="B2" s="2">
        <v>1231</v>
      </c>
      <c r="C2" s="2" t="s">
        <v>22</v>
      </c>
      <c r="D2" s="2" t="s">
        <v>45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21</v>
      </c>
      <c r="B3" s="2">
        <v>350</v>
      </c>
      <c r="C3" s="2" t="s">
        <v>24</v>
      </c>
      <c r="D3" s="2" t="s">
        <v>45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">
      <c r="A4" s="3" t="s">
        <v>25</v>
      </c>
      <c r="B4" s="2">
        <v>0.77</v>
      </c>
      <c r="C4" s="2" t="s">
        <v>26</v>
      </c>
      <c r="D4" s="2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>
      <c r="A5" s="3" t="s">
        <v>95</v>
      </c>
      <c r="B5" s="2">
        <v>1598</v>
      </c>
      <c r="C5" s="2" t="s">
        <v>22</v>
      </c>
      <c r="D5" s="2" t="s">
        <v>96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3" t="s">
        <v>97</v>
      </c>
      <c r="B6" s="2">
        <v>2829</v>
      </c>
      <c r="C6" s="2" t="s">
        <v>22</v>
      </c>
      <c r="D6" s="2" t="s">
        <v>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3" t="s">
        <v>98</v>
      </c>
      <c r="B7" s="2">
        <v>13.5</v>
      </c>
      <c r="C7" s="2" t="s">
        <v>22</v>
      </c>
      <c r="D7" s="2" t="s">
        <v>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">
      <c r="A8" s="3" t="s">
        <v>99</v>
      </c>
      <c r="B8" s="2">
        <v>20</v>
      </c>
      <c r="C8" s="2" t="s">
        <v>100</v>
      </c>
      <c r="D8" s="2" t="s">
        <v>101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">
      <c r="A9" s="3" t="s">
        <v>102</v>
      </c>
      <c r="B9" s="2">
        <v>100</v>
      </c>
      <c r="C9" s="2" t="s">
        <v>100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"/>
  <cols>
    <col min="1" max="1" width="8.4140625" customWidth="1"/>
    <col min="2" max="2" width="16.6640625" customWidth="1"/>
    <col min="3" max="3" width="3.75" customWidth="1"/>
    <col min="4" max="4" width="21.25" customWidth="1"/>
    <col min="5" max="5" width="15.4140625" customWidth="1"/>
    <col min="6" max="6" width="26.9140625" customWidth="1"/>
    <col min="7" max="7" width="13.1640625" customWidth="1"/>
    <col min="8" max="8" width="12.25" customWidth="1"/>
    <col min="9" max="9" width="12.4140625" customWidth="1"/>
    <col min="10" max="10" width="52" customWidth="1"/>
  </cols>
  <sheetData>
    <row r="1" spans="1:26" ht="2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">
      <c r="A2" s="4">
        <v>1</v>
      </c>
      <c r="B2" s="5">
        <v>1231</v>
      </c>
      <c r="C2" s="5">
        <v>0.77</v>
      </c>
      <c r="D2" s="5">
        <v>1598</v>
      </c>
      <c r="E2" s="5">
        <v>13.5</v>
      </c>
      <c r="F2" s="5">
        <v>2829</v>
      </c>
      <c r="G2" s="5">
        <v>109.7</v>
      </c>
      <c r="H2" s="5">
        <v>506.8</v>
      </c>
      <c r="I2" s="5">
        <v>189</v>
      </c>
      <c r="J2" s="2" t="s">
        <v>113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4">
        <v>0.8</v>
      </c>
      <c r="B3" s="5">
        <v>984.80000000000007</v>
      </c>
      <c r="C3" s="5">
        <v>0.77</v>
      </c>
      <c r="D3" s="5">
        <v>1278.4000000000001</v>
      </c>
      <c r="E3" s="5">
        <v>10.8</v>
      </c>
      <c r="F3" s="5">
        <v>2263.2000000000003</v>
      </c>
      <c r="G3" s="5">
        <v>87.76</v>
      </c>
      <c r="H3" s="5">
        <v>405.44000000000005</v>
      </c>
      <c r="I3" s="5">
        <v>151.20000000000002</v>
      </c>
      <c r="J3" s="2" t="s">
        <v>113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">
      <c r="A4" s="4">
        <v>0.6</v>
      </c>
      <c r="B4" s="5">
        <v>738.6</v>
      </c>
      <c r="C4" s="5">
        <v>0.77</v>
      </c>
      <c r="D4" s="5">
        <v>958.8</v>
      </c>
      <c r="E4" s="5">
        <v>8.1</v>
      </c>
      <c r="F4" s="5">
        <v>1697.3999999999999</v>
      </c>
      <c r="G4" s="5">
        <v>65.819999999999993</v>
      </c>
      <c r="H4" s="5">
        <v>304.08</v>
      </c>
      <c r="I4" s="5">
        <v>113.39999999999999</v>
      </c>
      <c r="J4" s="2" t="s">
        <v>113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>
      <c r="A5" s="4">
        <v>0.4</v>
      </c>
      <c r="B5" s="5">
        <v>492.40000000000003</v>
      </c>
      <c r="C5" s="5">
        <v>0.77</v>
      </c>
      <c r="D5" s="5">
        <v>639.20000000000005</v>
      </c>
      <c r="E5" s="5">
        <v>5.4</v>
      </c>
      <c r="F5" s="5">
        <v>1131.6000000000001</v>
      </c>
      <c r="G5" s="5">
        <v>43.88</v>
      </c>
      <c r="H5" s="5">
        <v>202.72000000000003</v>
      </c>
      <c r="I5" s="5">
        <v>75.600000000000009</v>
      </c>
      <c r="J5" s="2" t="s">
        <v>113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4">
        <v>0.2</v>
      </c>
      <c r="B6" s="5">
        <v>246.20000000000002</v>
      </c>
      <c r="C6" s="5">
        <v>0.77</v>
      </c>
      <c r="D6" s="5">
        <v>319.60000000000002</v>
      </c>
      <c r="E6" s="5">
        <v>2.7</v>
      </c>
      <c r="F6" s="5">
        <v>565.80000000000007</v>
      </c>
      <c r="G6" s="5">
        <v>21.94</v>
      </c>
      <c r="H6" s="5">
        <v>101.36000000000001</v>
      </c>
      <c r="I6" s="5">
        <v>37.800000000000004</v>
      </c>
      <c r="J6" s="2" t="s">
        <v>113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"/>
  <cols>
    <col min="1" max="1" width="14" customWidth="1"/>
    <col min="2" max="2" width="18.25" customWidth="1"/>
    <col min="3" max="3" width="7.1640625" customWidth="1"/>
    <col min="4" max="4" width="10" customWidth="1"/>
    <col min="5" max="5" width="11.4140625" customWidth="1"/>
    <col min="6" max="6" width="8.75" customWidth="1"/>
    <col min="7" max="7" width="8.5" customWidth="1"/>
    <col min="8" max="8" width="10" customWidth="1"/>
    <col min="9" max="9" width="5.5" customWidth="1"/>
    <col min="10" max="10" width="14.4140625" customWidth="1"/>
    <col min="11" max="11" width="22.4140625" customWidth="1"/>
    <col min="12" max="12" width="18.4140625" customWidth="1"/>
    <col min="13" max="13" width="24" customWidth="1"/>
  </cols>
  <sheetData>
    <row r="1" spans="1:26" ht="28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">
      <c r="A2" s="2" t="s">
        <v>126</v>
      </c>
      <c r="B2" s="2" t="s">
        <v>127</v>
      </c>
      <c r="C2" s="5"/>
      <c r="D2" s="5">
        <v>32</v>
      </c>
      <c r="E2" s="5">
        <v>22</v>
      </c>
      <c r="F2" s="5">
        <v>109.7</v>
      </c>
      <c r="G2" s="5">
        <v>125</v>
      </c>
      <c r="H2" s="5">
        <v>125</v>
      </c>
      <c r="I2" s="5">
        <v>6</v>
      </c>
      <c r="J2" s="5">
        <v>126</v>
      </c>
      <c r="K2" s="5">
        <v>1000</v>
      </c>
      <c r="L2" s="5">
        <v>1.7999999999999999E-2</v>
      </c>
      <c r="M2" s="2" t="s">
        <v>128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2" t="s">
        <v>129</v>
      </c>
      <c r="B3" s="2" t="s">
        <v>127</v>
      </c>
      <c r="C3" s="5">
        <v>2829</v>
      </c>
      <c r="D3" s="5">
        <v>46</v>
      </c>
      <c r="E3" s="5">
        <v>51</v>
      </c>
      <c r="F3" s="5">
        <v>506.8</v>
      </c>
      <c r="G3" s="5">
        <v>250</v>
      </c>
      <c r="H3" s="5">
        <v>250</v>
      </c>
      <c r="I3" s="5">
        <v>4</v>
      </c>
      <c r="J3" s="5">
        <v>144</v>
      </c>
      <c r="K3" s="5">
        <v>1000</v>
      </c>
      <c r="L3" s="5">
        <v>4.3999999999999997E-2</v>
      </c>
      <c r="M3" s="2" t="s">
        <v>130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">
      <c r="A4" s="2" t="s">
        <v>131</v>
      </c>
      <c r="B4" s="2" t="s">
        <v>132</v>
      </c>
      <c r="C4" s="5">
        <v>1598</v>
      </c>
      <c r="D4" s="5">
        <v>95.5</v>
      </c>
      <c r="E4" s="5">
        <v>88</v>
      </c>
      <c r="F4" s="5">
        <v>189</v>
      </c>
      <c r="G4" s="5">
        <v>250</v>
      </c>
      <c r="H4" s="5">
        <v>250</v>
      </c>
      <c r="I4" s="5">
        <v>6</v>
      </c>
      <c r="J4" s="5">
        <v>85</v>
      </c>
      <c r="K4" s="5">
        <v>1000</v>
      </c>
      <c r="L4" s="5">
        <v>1.7999999999999999E-2</v>
      </c>
      <c r="M4" s="2" t="s">
        <v>133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"/>
  <cols>
    <col min="1" max="1" width="34.1640625" customWidth="1"/>
    <col min="2" max="2" width="28.6640625" customWidth="1"/>
    <col min="3" max="3" width="3.9140625" customWidth="1"/>
    <col min="4" max="4" width="42" customWidth="1"/>
  </cols>
  <sheetData>
    <row r="1" spans="1:26" ht="28">
      <c r="A1" s="1" t="s">
        <v>0</v>
      </c>
      <c r="B1" s="1" t="s">
        <v>1</v>
      </c>
      <c r="C1" s="1" t="s">
        <v>2</v>
      </c>
      <c r="D1" s="1" t="s">
        <v>94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134</v>
      </c>
      <c r="B2" s="2" t="s">
        <v>135</v>
      </c>
      <c r="C2" s="2"/>
      <c r="D2" s="2" t="s">
        <v>136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137</v>
      </c>
      <c r="B3" s="2" t="s">
        <v>126</v>
      </c>
      <c r="C3" s="2"/>
      <c r="D3" s="2" t="s">
        <v>138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139</v>
      </c>
      <c r="B4" s="2" t="s">
        <v>129</v>
      </c>
      <c r="C4" s="2"/>
      <c r="D4" s="2" t="s">
        <v>138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140</v>
      </c>
      <c r="B5" s="2" t="s">
        <v>141</v>
      </c>
      <c r="C5" s="2"/>
      <c r="D5" s="2" t="s">
        <v>138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39</v>
      </c>
      <c r="B6" s="2">
        <v>7000</v>
      </c>
      <c r="C6" s="2" t="s">
        <v>40</v>
      </c>
      <c r="D6" s="2" t="s">
        <v>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42</v>
      </c>
      <c r="B7" s="2">
        <v>2320</v>
      </c>
      <c r="C7" s="2" t="s">
        <v>40</v>
      </c>
      <c r="D7" s="2" t="s">
        <v>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43</v>
      </c>
      <c r="B8" s="2">
        <v>3330</v>
      </c>
      <c r="C8" s="2" t="s">
        <v>40</v>
      </c>
      <c r="D8" s="2" t="s">
        <v>45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">
      <c r="A9" s="3" t="s">
        <v>142</v>
      </c>
      <c r="B9" s="2">
        <v>6490</v>
      </c>
      <c r="C9" s="2" t="s">
        <v>40</v>
      </c>
      <c r="D9" s="2" t="s">
        <v>143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144</v>
      </c>
      <c r="B10" s="2">
        <v>2270</v>
      </c>
      <c r="C10" s="2" t="s">
        <v>40</v>
      </c>
      <c r="D10" s="2" t="s">
        <v>143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145</v>
      </c>
      <c r="B11" s="2">
        <v>1946</v>
      </c>
      <c r="C11" s="2" t="s">
        <v>40</v>
      </c>
      <c r="D11" s="2" t="s">
        <v>143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146</v>
      </c>
      <c r="B12" s="2">
        <v>2046</v>
      </c>
      <c r="C12" s="2" t="s">
        <v>40</v>
      </c>
      <c r="D12" s="2" t="s">
        <v>143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44</v>
      </c>
      <c r="B13" s="2">
        <v>5500</v>
      </c>
      <c r="C13" s="2" t="s">
        <v>40</v>
      </c>
      <c r="D13" s="2" t="s">
        <v>45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">
      <c r="A14" s="3" t="s">
        <v>147</v>
      </c>
      <c r="B14" s="2" t="s">
        <v>148</v>
      </c>
      <c r="C14" s="2"/>
      <c r="D14" s="2" t="s">
        <v>149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150</v>
      </c>
      <c r="B15" s="2" t="s">
        <v>151</v>
      </c>
      <c r="C15" s="2"/>
      <c r="D15" s="2" t="s">
        <v>143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">
      <c r="A16" s="3" t="s">
        <v>152</v>
      </c>
      <c r="B16" s="2" t="s">
        <v>153</v>
      </c>
      <c r="C16" s="2"/>
      <c r="D16" s="2" t="s">
        <v>149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tabSelected="1" workbookViewId="0"/>
  </sheetViews>
  <sheetFormatPr defaultRowHeight="14"/>
  <cols>
    <col min="1" max="1" width="22.75" customWidth="1"/>
    <col min="2" max="2" width="7.1640625" customWidth="1"/>
    <col min="3" max="3" width="6.9140625" customWidth="1"/>
    <col min="4" max="4" width="56" customWidth="1"/>
  </cols>
  <sheetData>
    <row r="1" spans="1:26">
      <c r="A1" s="1" t="s">
        <v>154</v>
      </c>
      <c r="B1" s="1" t="s">
        <v>155</v>
      </c>
      <c r="C1" s="1" t="s">
        <v>156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157</v>
      </c>
      <c r="B2" s="2" t="s">
        <v>158</v>
      </c>
      <c r="C2" s="2" t="s">
        <v>159</v>
      </c>
      <c r="D2" s="2" t="s">
        <v>160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2" t="s">
        <v>161</v>
      </c>
      <c r="B3" s="2" t="s">
        <v>158</v>
      </c>
      <c r="C3" s="2" t="s">
        <v>19</v>
      </c>
      <c r="D3" s="2" t="s">
        <v>162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163</v>
      </c>
      <c r="B4" s="2" t="s">
        <v>158</v>
      </c>
      <c r="C4" s="2" t="s">
        <v>159</v>
      </c>
      <c r="D4" s="2" t="s">
        <v>164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165</v>
      </c>
      <c r="B5" s="2" t="s">
        <v>158</v>
      </c>
      <c r="C5" s="2" t="s">
        <v>159</v>
      </c>
      <c r="D5" s="2" t="s">
        <v>166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167</v>
      </c>
      <c r="B6" s="2" t="s">
        <v>158</v>
      </c>
      <c r="C6" s="2" t="s">
        <v>159</v>
      </c>
      <c r="D6" s="2" t="s">
        <v>168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2" t="s">
        <v>169</v>
      </c>
      <c r="B7" s="2" t="s">
        <v>158</v>
      </c>
      <c r="C7" s="2" t="s">
        <v>159</v>
      </c>
      <c r="D7" s="2" t="s">
        <v>170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">
      <c r="A8" s="2" t="s">
        <v>171</v>
      </c>
      <c r="B8" s="2" t="s">
        <v>158</v>
      </c>
      <c r="C8" s="2" t="s">
        <v>159</v>
      </c>
      <c r="D8" s="2" t="s">
        <v>172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">
      <c r="A9" s="2" t="s">
        <v>173</v>
      </c>
      <c r="B9" s="2" t="s">
        <v>158</v>
      </c>
      <c r="C9" s="2" t="s">
        <v>19</v>
      </c>
      <c r="D9" s="2" t="s">
        <v>174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">
      <c r="A10" s="2" t="s">
        <v>175</v>
      </c>
      <c r="B10" s="2" t="s">
        <v>176</v>
      </c>
      <c r="C10" s="2" t="s">
        <v>159</v>
      </c>
      <c r="D10" s="2" t="s">
        <v>177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>
      <c r="A11" s="2" t="s">
        <v>178</v>
      </c>
      <c r="B11" s="2" t="s">
        <v>179</v>
      </c>
      <c r="C11" s="2" t="s">
        <v>159</v>
      </c>
      <c r="D11" s="2" t="s">
        <v>180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">
      <c r="A12" s="2" t="s">
        <v>181</v>
      </c>
      <c r="B12" s="2" t="s">
        <v>19</v>
      </c>
      <c r="C12" s="2" t="s">
        <v>19</v>
      </c>
      <c r="D12" s="2" t="s">
        <v>182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conditionalFormatting sqref="B2:B20">
    <cfRule type="expression" dxfId="2" priority="1">
      <formula>B2="MISSING"</formula>
    </cfRule>
    <cfRule type="expression" dxfId="1" priority="2">
      <formula>B2="PASS"</formula>
    </cfRule>
    <cfRule type="expression" dxfId="0" priority="3">
      <formula>B2="PARTIAL"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Information</vt:lpstr>
      <vt:lpstr>Metadata</vt:lpstr>
      <vt:lpstr>Performance_Map</vt:lpstr>
      <vt:lpstr>Solver_Curve</vt:lpstr>
      <vt:lpstr>Water_Loops</vt:lpstr>
      <vt:lpstr>GA_Drawing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2026-06-30T09:05:52Z</dcterms:created>
  <dcterms:modified xsi:type="dcterms:W3CDTF">2026-06-30T09:05:52Z</dcterms:modified>
</cp:coreProperties>
</file>