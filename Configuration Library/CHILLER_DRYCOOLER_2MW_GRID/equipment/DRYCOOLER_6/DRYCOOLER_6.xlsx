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riel\Desktop\Configuration Library\CHILLER_DRYCOOLER_2MW_GRID_CDU\equipment\DRYCOOLER_6\"/>
    </mc:Choice>
  </mc:AlternateContent>
  <xr:revisionPtr revIDLastSave="0" documentId="8_{64B0B863-9917-4B39-BDFE-BF2EDD96225C}" xr6:coauthVersionLast="47" xr6:coauthVersionMax="47" xr10:uidLastSave="{00000000-0000-0000-0000-000000000000}"/>
  <bookViews>
    <workbookView xWindow="-110" yWindow="-110" windowWidth="38620" windowHeight="21100" activeTab="4" xr2:uid="{00000000-000D-0000-FFFF-FFFF00000000}"/>
  </bookViews>
  <sheets>
    <sheet name="Information" sheetId="1" r:id="rId1"/>
    <sheet name="Metadata" sheetId="2" r:id="rId2"/>
    <sheet name="Performance_Map" sheetId="3" r:id="rId3"/>
    <sheet name="Solver_Curve" sheetId="4" r:id="rId4"/>
    <sheet name="Validation" sheetId="5" r:id="rId5"/>
  </sheets>
  <calcPr calcId="0"/>
</workbook>
</file>

<file path=xl/sharedStrings.xml><?xml version="1.0" encoding="utf-8"?>
<sst xmlns="http://schemas.openxmlformats.org/spreadsheetml/2006/main" count="258" uniqueCount="161">
  <si>
    <t>Field</t>
  </si>
  <si>
    <t>Value</t>
  </si>
  <si>
    <t>Unit / Notes</t>
  </si>
  <si>
    <t>Equipment ID</t>
  </si>
  <si>
    <t>DRYCOOLER_6</t>
  </si>
  <si>
    <t>Registry ID</t>
  </si>
  <si>
    <t>Equipment Type</t>
  </si>
  <si>
    <t>Dry Cooler</t>
  </si>
  <si>
    <t>Configuration</t>
  </si>
  <si>
    <t>CHILLER_DRYCOOLER_2MW_GRID_CDU</t>
  </si>
  <si>
    <t>Cooling System</t>
  </si>
  <si>
    <t>Chiller + Dry Cooler</t>
  </si>
  <si>
    <t>Cooling Unit Capacity</t>
  </si>
  <si>
    <t>MW</t>
  </si>
  <si>
    <t>Power Source</t>
  </si>
  <si>
    <t>Grid</t>
  </si>
  <si>
    <t>Manufacturer / Source</t>
  </si>
  <si>
    <t>Dry Cooler SPEC + Coil Calculation Report</t>
  </si>
  <si>
    <t>Source files provided by user</t>
  </si>
  <si>
    <t>Manufacturer Model / Code</t>
  </si>
  <si>
    <t>XXXXA(80+80)061100021WXX(80+80+80+80)</t>
  </si>
  <si>
    <t>From coil report</t>
  </si>
  <si>
    <t>Fluid</t>
  </si>
  <si>
    <t>Water</t>
  </si>
  <si>
    <t>Design Capacity</t>
  </si>
  <si>
    <t>kW at 44°C ambient from coil report / SPEC table</t>
  </si>
  <si>
    <t>Design Ambient Air Inlet</t>
  </si>
  <si>
    <t>°C</t>
  </si>
  <si>
    <t>Design Air Outlet</t>
  </si>
  <si>
    <t>°C from coil report</t>
  </si>
  <si>
    <t>Design Entering Water</t>
  </si>
  <si>
    <t>Design Leaving Water</t>
  </si>
  <si>
    <t>Design Water Flow</t>
  </si>
  <si>
    <t>L/h from coil report</t>
  </si>
  <si>
    <t>m³/h</t>
  </si>
  <si>
    <t>Design Air Flow</t>
  </si>
  <si>
    <t>Design Air Pressure Drop</t>
  </si>
  <si>
    <t>Pa</t>
  </si>
  <si>
    <t>Design Coil Pressure Drop</t>
  </si>
  <si>
    <t>kPa</t>
  </si>
  <si>
    <t>Total Pressure Drop</t>
  </si>
  <si>
    <t>Fan Type</t>
  </si>
  <si>
    <t>Centrifugal</t>
  </si>
  <si>
    <t>From SPEC</t>
  </si>
  <si>
    <t>Fan Quantity</t>
  </si>
  <si>
    <t>Fans per Dry Cooler</t>
  </si>
  <si>
    <t>Fan Motor Minimum Power</t>
  </si>
  <si>
    <t>kW per fan</t>
  </si>
  <si>
    <t>Nominal Input Power</t>
  </si>
  <si>
    <t>kW from SPEC</t>
  </si>
  <si>
    <t>Package Version</t>
  </si>
  <si>
    <t>v2.0</t>
  </si>
  <si>
    <t>Data Confidence</t>
  </si>
  <si>
    <t>Medium</t>
  </si>
  <si>
    <t>SPEC + coil report available; complete fan curve not provided</t>
  </si>
  <si>
    <t>Generated By</t>
  </si>
  <si>
    <t>ChatGPT</t>
  </si>
  <si>
    <t>Generated Date</t>
  </si>
  <si>
    <t>2026-06-30</t>
  </si>
  <si>
    <t>Notes</t>
  </si>
  <si>
    <t>registry_id</t>
  </si>
  <si>
    <t>Software equipment ID</t>
  </si>
  <si>
    <t>equipment_type</t>
  </si>
  <si>
    <t>dry_cooler</t>
  </si>
  <si>
    <t>Lowercase type for software use</t>
  </si>
  <si>
    <t>configuration_name</t>
  </si>
  <si>
    <t>cooling_system_type</t>
  </si>
  <si>
    <t>chiller_drycooler</t>
  </si>
  <si>
    <t>cooling_unit_capacity_mw</t>
  </si>
  <si>
    <t>power_source</t>
  </si>
  <si>
    <t>grid</t>
  </si>
  <si>
    <t>equipment_package_standard</t>
  </si>
  <si>
    <t>Equipment Package v2.0</t>
  </si>
  <si>
    <t>excel_role</t>
  </si>
  <si>
    <t>single_source_for_solver</t>
  </si>
  <si>
    <t>Excel contains all equipment data</t>
  </si>
  <si>
    <t>solver_readiness</t>
  </si>
  <si>
    <t>Partial</t>
  </si>
  <si>
    <t>Usable with simplified curve; full multi-fan map missing</t>
  </si>
  <si>
    <t>performance_map_type</t>
  </si>
  <si>
    <t>ambient_temperature_capacity_map</t>
  </si>
  <si>
    <t>Dry cooler map</t>
  </si>
  <si>
    <t>solver_curve_basis</t>
  </si>
  <si>
    <t>SPEC extended table + coil report design point</t>
  </si>
  <si>
    <t>source_file_1</t>
  </si>
  <si>
    <t>444T_5852_44C@920G6T80 W320 CHILLER DRY COOLER GRID 6.pdf</t>
  </si>
  <si>
    <t>Coil calculation report</t>
  </si>
  <si>
    <t>source_file_2</t>
  </si>
  <si>
    <t>Dry Cooler -SPEC V1.0 CHILLER DRY COOLER GRID 6.xlsx</t>
  </si>
  <si>
    <t>Specification and extended points</t>
  </si>
  <si>
    <t>Source</t>
  </si>
  <si>
    <t>Ambient_C</t>
  </si>
  <si>
    <t>Heat_Rejection_kW</t>
  </si>
  <si>
    <t>Entering_Water_C</t>
  </si>
  <si>
    <t>Leaving_Water_C</t>
  </si>
  <si>
    <t>Water_Flow_L_per_h</t>
  </si>
  <si>
    <t>Water_Flow_m3_per_h</t>
  </si>
  <si>
    <t>Water_Pressure_Drop_kPa</t>
  </si>
  <si>
    <t>Air_Flow_m3_per_h</t>
  </si>
  <si>
    <t>Air_Pressure_Drop_Pa</t>
  </si>
  <si>
    <t>Fan_Quantity</t>
  </si>
  <si>
    <t>Fan_Motor_Min_kW_each</t>
  </si>
  <si>
    <t>Estimated_Total_Fan_Power_kW</t>
  </si>
  <si>
    <t>SPEC</t>
  </si>
  <si>
    <t>SPEC operation mode</t>
  </si>
  <si>
    <t>SPEC lists 949 kPa; likely needs confirmation</t>
  </si>
  <si>
    <t>Coil Report</t>
  </si>
  <si>
    <t>Coil calculation report design point</t>
  </si>
  <si>
    <t>SPEC Extended Table</t>
  </si>
  <si>
    <t>Fixed flow capacity; fixed ΔT capacity=5654 kW, fixed ΔT flow=896382 L/h</t>
  </si>
  <si>
    <t>Fixed flow capacity; fixed ΔT capacity=5393 kW, fixed ΔT flow=855637 L/h</t>
  </si>
  <si>
    <t>Fixed flow capacity; fixed ΔT capacity=5131 kW, fixed ΔT flow=814893 L/h</t>
  </si>
  <si>
    <t>Fixed flow capacity; fixed ΔT capacity=4869 kW, fixed ΔT flow=774148 L/h</t>
  </si>
  <si>
    <t>Fixed flow capacity; fixed ΔT capacity=4607 kW, fixed ΔT flow=733403 L/h</t>
  </si>
  <si>
    <t>Fixed flow capacity; fixed ΔT capacity=4345 kW, fixed ΔT flow=692659 L/h</t>
  </si>
  <si>
    <t>Fixed flow capacity; fixed ΔT capacity=4081 kW, fixed ΔT flow=651914 L/h</t>
  </si>
  <si>
    <t>Fixed flow capacity; fixed ΔT capacity=3820 kW, fixed ΔT flow=611170 L/h</t>
  </si>
  <si>
    <t>Fixed flow capacity; fixed ΔT capacity=3558 kW, fixed ΔT flow=570425 L/h</t>
  </si>
  <si>
    <t>Fixed flow capacity; fixed ΔT capacity=3296 kW, fixed ΔT flow=529680 L/h</t>
  </si>
  <si>
    <t>Fixed flow capacity; fixed ΔT capacity=3034 kW, fixed ΔT flow=488936 L/h</t>
  </si>
  <si>
    <t>Fixed flow capacity; fixed ΔT capacity=2777 kW, fixed ΔT flow=448191 L/h</t>
  </si>
  <si>
    <t>Fixed flow capacity; fixed ΔT capacity=2515 kW, fixed ΔT flow=407446 L/h</t>
  </si>
  <si>
    <t>Fixed flow capacity; fixed ΔT capacity=2551 kW, fixed ΔT flow=366702 L/h</t>
  </si>
  <si>
    <t>Curve_Mode</t>
  </si>
  <si>
    <t>Outdoor_Dry_Bulb_C</t>
  </si>
  <si>
    <t>Heat_Rejection_Capacity_kW</t>
  </si>
  <si>
    <t>DeltaT_C</t>
  </si>
  <si>
    <t>Estimated_Fan_Power_kW</t>
  </si>
  <si>
    <t>Fan_Power_Source</t>
  </si>
  <si>
    <t>Solver_Use</t>
  </si>
  <si>
    <t>Fixed_Flow</t>
  </si>
  <si>
    <t>SPEC nominal input power</t>
  </si>
  <si>
    <t>Primary</t>
  </si>
  <si>
    <t>Design_Point</t>
  </si>
  <si>
    <t>Reference / validation</t>
  </si>
  <si>
    <t>Check Item</t>
  </si>
  <si>
    <t>Status</t>
  </si>
  <si>
    <t>PASS</t>
  </si>
  <si>
    <t>Required Sheet: Information</t>
  </si>
  <si>
    <t>Required Sheet: Metadata</t>
  </si>
  <si>
    <t>Required Sheet: Performance_Map</t>
  </si>
  <si>
    <t>Includes SPEC points, coil report, and extended table</t>
  </si>
  <si>
    <t>Required Sheet: Solver_Curve</t>
  </si>
  <si>
    <t>Primary fixed-flow curve created from SPEC extended table</t>
  </si>
  <si>
    <t>Capacity at 44°C</t>
  </si>
  <si>
    <t>WARNING</t>
  </si>
  <si>
    <t>SPEC extended fixed-flow table gives 2976 kW; coil report gives 3065 kW at higher water flow</t>
  </si>
  <si>
    <t>Water Pressure Drop</t>
  </si>
  <si>
    <t>SPEC lists 949 kPa at 38.8°C; likely typo and should be confirmed</t>
  </si>
  <si>
    <t>Fan Power</t>
  </si>
  <si>
    <t>Nominal input power 261.3 kW; derived as 78 fans × 3.35 kW</t>
  </si>
  <si>
    <t>Fan Power Curve</t>
  </si>
  <si>
    <t>MISSING</t>
  </si>
  <si>
    <t>Only nominal input power provided; no fan speed/power curve</t>
  </si>
  <si>
    <t>Multi-Ambient Curve</t>
  </si>
  <si>
    <t>33°C to 46°C fixed-flow table available</t>
  </si>
  <si>
    <t>MEDIUM</t>
  </si>
  <si>
    <t>Enough for simplified PUE; further fan curve would improve annual accuracy</t>
  </si>
  <si>
    <t>Recommended Next Data</t>
  </si>
  <si>
    <t>REQUEST</t>
  </si>
  <si>
    <t>Confirm 38.8°C water pressure drop and provide fan power curve if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</si>
</sst>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000000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1" applyFont="1" applyFill="1" applyAlignment="1">
      <alignment horizontal="center" vertical="center"/>
    </xf>
    <xf numFmtId="0" fontId="2" fillId="3" borderId="0" xfId="1" applyFont="1" applyFill="1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2" fontId="1" fillId="2" borderId="0" xfId="1" applyNumberFormat="1" applyFont="1" applyFill="1" applyAlignment="1">
      <alignment horizontal="center" vertical="center"/>
    </xf>
    <xf numFmtId="2" fontId="1" fillId="2" borderId="0" xfId="1" applyNumberFormat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/>
              <a:t>DRYCOOLER_6 Fixed-Flow Capacity vs Ambient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Heat_Rejection_Capacity_kW</c:v>
          </c:tx>
          <c:cat>
            <c:numRef>
              <c:f>Solver_Curve!$B$2:$B$15</c:f>
              <c:numCache>
                <c:formatCode>General</c:formatCode>
                <c:ptCount val="14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  <c:pt idx="8">
                  <c:v>41</c:v>
                </c:pt>
                <c:pt idx="9">
                  <c:v>42</c:v>
                </c:pt>
                <c:pt idx="10">
                  <c:v>43</c:v>
                </c:pt>
                <c:pt idx="11">
                  <c:v>44</c:v>
                </c:pt>
                <c:pt idx="12">
                  <c:v>45</c:v>
                </c:pt>
                <c:pt idx="13">
                  <c:v>46</c:v>
                </c:pt>
              </c:numCache>
            </c:numRef>
          </c:cat>
          <c:val>
            <c:numRef>
              <c:f>Solver_Curve!$C$2:$C$15</c:f>
              <c:numCache>
                <c:formatCode>General</c:formatCode>
                <c:ptCount val="14"/>
                <c:pt idx="0">
                  <c:v>5315</c:v>
                </c:pt>
                <c:pt idx="1">
                  <c:v>5102</c:v>
                </c:pt>
                <c:pt idx="2">
                  <c:v>4890</c:v>
                </c:pt>
                <c:pt idx="3">
                  <c:v>4677</c:v>
                </c:pt>
                <c:pt idx="4">
                  <c:v>4465</c:v>
                </c:pt>
                <c:pt idx="5">
                  <c:v>4252</c:v>
                </c:pt>
                <c:pt idx="6">
                  <c:v>4039</c:v>
                </c:pt>
                <c:pt idx="7">
                  <c:v>3827</c:v>
                </c:pt>
                <c:pt idx="8">
                  <c:v>3614</c:v>
                </c:pt>
                <c:pt idx="9">
                  <c:v>3402</c:v>
                </c:pt>
                <c:pt idx="10">
                  <c:v>3189</c:v>
                </c:pt>
                <c:pt idx="11">
                  <c:v>2976</c:v>
                </c:pt>
                <c:pt idx="12">
                  <c:v>2764</c:v>
                </c:pt>
                <c:pt idx="13">
                  <c:v>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8C-4D4B-9E78-E1C9F5C70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RYCOOLER6_PerformanceMap" displayName="DRYCOOLER6_PerformanceMap" ref="A1:N19">
  <tableColumns count="14">
    <tableColumn id="1" xr3:uid="{00000000-0010-0000-0000-000001000000}" name="Source"/>
    <tableColumn id="2" xr3:uid="{00000000-0010-0000-0000-000002000000}" name="Ambient_C"/>
    <tableColumn id="3" xr3:uid="{00000000-0010-0000-0000-000003000000}" name="Heat_Rejection_kW"/>
    <tableColumn id="4" xr3:uid="{00000000-0010-0000-0000-000004000000}" name="Entering_Water_C"/>
    <tableColumn id="5" xr3:uid="{00000000-0010-0000-0000-000005000000}" name="Leaving_Water_C"/>
    <tableColumn id="6" xr3:uid="{00000000-0010-0000-0000-000006000000}" name="Water_Flow_L_per_h"/>
    <tableColumn id="7" xr3:uid="{00000000-0010-0000-0000-000007000000}" name="Water_Flow_m3_per_h"/>
    <tableColumn id="8" xr3:uid="{00000000-0010-0000-0000-000008000000}" name="Water_Pressure_Drop_kPa"/>
    <tableColumn id="9" xr3:uid="{00000000-0010-0000-0000-000009000000}" name="Air_Flow_m3_per_h"/>
    <tableColumn id="10" xr3:uid="{00000000-0010-0000-0000-00000A000000}" name="Air_Pressure_Drop_Pa"/>
    <tableColumn id="11" xr3:uid="{00000000-0010-0000-0000-00000B000000}" name="Fan_Quantity"/>
    <tableColumn id="12" xr3:uid="{00000000-0010-0000-0000-00000C000000}" name="Fan_Motor_Min_kW_each"/>
    <tableColumn id="13" xr3:uid="{00000000-0010-0000-0000-00000D000000}" name="Estimated_Total_Fan_Power_kW"/>
    <tableColumn id="14" xr3:uid="{00000000-0010-0000-0000-00000E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RYCOOLER6_SolverCurve" displayName="DRYCOOLER6_SolverCurve" ref="A1:L16">
  <tableColumns count="12">
    <tableColumn id="1" xr3:uid="{00000000-0010-0000-0100-000001000000}" name="Curve_Mode"/>
    <tableColumn id="2" xr3:uid="{00000000-0010-0000-0100-000002000000}" name="Outdoor_Dry_Bulb_C"/>
    <tableColumn id="3" xr3:uid="{00000000-0010-0000-0100-000003000000}" name="Heat_Rejection_Capacity_kW"/>
    <tableColumn id="4" xr3:uid="{00000000-0010-0000-0100-000004000000}" name="Entering_Water_C"/>
    <tableColumn id="5" xr3:uid="{00000000-0010-0000-0100-000005000000}" name="Leaving_Water_C"/>
    <tableColumn id="6" xr3:uid="{00000000-0010-0000-0100-000006000000}" name="Water_Flow_L_per_h"/>
    <tableColumn id="7" xr3:uid="{00000000-0010-0000-0100-000007000000}" name="Water_Flow_m3_per_h"/>
    <tableColumn id="8" xr3:uid="{00000000-0010-0000-0100-000008000000}" name="DeltaT_C"/>
    <tableColumn id="9" xr3:uid="{00000000-0010-0000-0100-000009000000}" name="Estimated_Fan_Power_kW"/>
    <tableColumn id="10" xr3:uid="{00000000-0010-0000-0100-00000A000000}" name="Fan_Power_Source"/>
    <tableColumn id="11" xr3:uid="{00000000-0010-0000-0100-00000B000000}" name="Source"/>
    <tableColumn id="12" xr3:uid="{00000000-0010-0000-0100-00000C000000}" name="Solver_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workbookViewId="0"/>
  </sheetViews>
  <sheetFormatPr defaultRowHeight="14"/>
  <cols>
    <col min="1" max="1" width="21.9140625" customWidth="1"/>
    <col min="2" max="2" width="34.4140625" customWidth="1"/>
    <col min="3" max="3" width="45.75" customWidth="1"/>
  </cols>
  <sheetData>
    <row r="1" spans="1:3">
      <c r="A1" s="3" t="s">
        <v>0</v>
      </c>
      <c r="B1" s="3" t="s">
        <v>1</v>
      </c>
      <c r="C1" s="3" t="s">
        <v>2</v>
      </c>
    </row>
    <row r="2" spans="1:3">
      <c r="A2" s="2" t="s">
        <v>3</v>
      </c>
      <c r="B2" t="s">
        <v>4</v>
      </c>
      <c r="C2" t="s">
        <v>5</v>
      </c>
    </row>
    <row r="3" spans="1:3">
      <c r="A3" s="2" t="s">
        <v>6</v>
      </c>
      <c r="B3" t="s">
        <v>7</v>
      </c>
    </row>
    <row r="4" spans="1:3">
      <c r="A4" s="2" t="s">
        <v>8</v>
      </c>
      <c r="B4" t="s">
        <v>9</v>
      </c>
    </row>
    <row r="5" spans="1:3">
      <c r="A5" s="2" t="s">
        <v>10</v>
      </c>
      <c r="B5" t="s">
        <v>11</v>
      </c>
    </row>
    <row r="6" spans="1:3">
      <c r="A6" s="2" t="s">
        <v>12</v>
      </c>
      <c r="B6">
        <v>2</v>
      </c>
      <c r="C6" t="s">
        <v>13</v>
      </c>
    </row>
    <row r="7" spans="1:3">
      <c r="A7" s="2" t="s">
        <v>14</v>
      </c>
      <c r="B7" t="s">
        <v>15</v>
      </c>
    </row>
    <row r="8" spans="1:3">
      <c r="A8" s="2" t="s">
        <v>16</v>
      </c>
      <c r="B8" t="s">
        <v>17</v>
      </c>
      <c r="C8" t="s">
        <v>18</v>
      </c>
    </row>
    <row r="9" spans="1:3">
      <c r="A9" s="2" t="s">
        <v>19</v>
      </c>
      <c r="B9" t="s">
        <v>20</v>
      </c>
      <c r="C9" t="s">
        <v>21</v>
      </c>
    </row>
    <row r="10" spans="1:3">
      <c r="A10" s="2" t="s">
        <v>22</v>
      </c>
      <c r="B10" t="s">
        <v>23</v>
      </c>
    </row>
    <row r="11" spans="1:3">
      <c r="A11" s="2" t="s">
        <v>24</v>
      </c>
      <c r="B11">
        <v>3065</v>
      </c>
      <c r="C11" t="s">
        <v>25</v>
      </c>
    </row>
    <row r="12" spans="1:3">
      <c r="A12" s="2" t="s">
        <v>26</v>
      </c>
      <c r="B12">
        <v>44</v>
      </c>
      <c r="C12" t="s">
        <v>27</v>
      </c>
    </row>
    <row r="13" spans="1:3">
      <c r="A13" s="2" t="s">
        <v>28</v>
      </c>
      <c r="B13">
        <v>55.9</v>
      </c>
      <c r="C13" t="s">
        <v>29</v>
      </c>
    </row>
    <row r="14" spans="1:3">
      <c r="A14" s="2" t="s">
        <v>30</v>
      </c>
      <c r="B14">
        <v>58</v>
      </c>
      <c r="C14" t="s">
        <v>27</v>
      </c>
    </row>
    <row r="15" spans="1:3">
      <c r="A15" s="2" t="s">
        <v>31</v>
      </c>
      <c r="B15">
        <v>52</v>
      </c>
      <c r="C15" t="s">
        <v>27</v>
      </c>
    </row>
    <row r="16" spans="1:3">
      <c r="A16" s="2" t="s">
        <v>32</v>
      </c>
      <c r="B16">
        <v>444332</v>
      </c>
      <c r="C16" t="s">
        <v>33</v>
      </c>
    </row>
    <row r="17" spans="1:3">
      <c r="A17" s="2" t="s">
        <v>32</v>
      </c>
      <c r="B17">
        <v>444.33199999999999</v>
      </c>
      <c r="C17" t="s">
        <v>34</v>
      </c>
    </row>
    <row r="18" spans="1:3">
      <c r="A18" s="2" t="s">
        <v>35</v>
      </c>
      <c r="B18">
        <v>820000</v>
      </c>
      <c r="C18" t="s">
        <v>34</v>
      </c>
    </row>
    <row r="19" spans="1:3">
      <c r="A19" s="2" t="s">
        <v>36</v>
      </c>
      <c r="B19">
        <v>215</v>
      </c>
      <c r="C19" t="s">
        <v>37</v>
      </c>
    </row>
    <row r="20" spans="1:3">
      <c r="A20" s="2" t="s">
        <v>38</v>
      </c>
      <c r="B20">
        <v>110</v>
      </c>
      <c r="C20" t="s">
        <v>39</v>
      </c>
    </row>
    <row r="21" spans="1:3">
      <c r="A21" s="2" t="s">
        <v>40</v>
      </c>
      <c r="B21">
        <v>134</v>
      </c>
      <c r="C21" t="s">
        <v>39</v>
      </c>
    </row>
    <row r="22" spans="1:3">
      <c r="A22" s="2" t="s">
        <v>41</v>
      </c>
      <c r="B22" t="s">
        <v>42</v>
      </c>
      <c r="C22" t="s">
        <v>43</v>
      </c>
    </row>
    <row r="23" spans="1:3">
      <c r="A23" s="2" t="s">
        <v>44</v>
      </c>
      <c r="B23">
        <v>78</v>
      </c>
      <c r="C23" t="s">
        <v>45</v>
      </c>
    </row>
    <row r="24" spans="1:3">
      <c r="A24" s="2" t="s">
        <v>46</v>
      </c>
      <c r="B24">
        <v>3.35</v>
      </c>
      <c r="C24" t="s">
        <v>47</v>
      </c>
    </row>
    <row r="25" spans="1:3">
      <c r="A25" s="2" t="s">
        <v>48</v>
      </c>
      <c r="B25">
        <v>261.3</v>
      </c>
      <c r="C25" t="s">
        <v>49</v>
      </c>
    </row>
    <row r="26" spans="1:3">
      <c r="A26" s="2" t="s">
        <v>50</v>
      </c>
      <c r="B26" t="s">
        <v>51</v>
      </c>
    </row>
    <row r="27" spans="1:3">
      <c r="A27" s="2" t="s">
        <v>52</v>
      </c>
      <c r="B27" t="s">
        <v>53</v>
      </c>
      <c r="C27" t="s">
        <v>54</v>
      </c>
    </row>
    <row r="28" spans="1:3">
      <c r="A28" s="2" t="s">
        <v>55</v>
      </c>
      <c r="B28" t="s">
        <v>56</v>
      </c>
    </row>
    <row r="29" spans="1:3">
      <c r="A29" s="2" t="s">
        <v>57</v>
      </c>
      <c r="B29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4"/>
  <sheetViews>
    <sheetView workbookViewId="0"/>
  </sheetViews>
  <sheetFormatPr defaultRowHeight="14"/>
  <cols>
    <col min="1" max="1" width="23.6640625" customWidth="1"/>
    <col min="2" max="2" width="51.4140625" customWidth="1"/>
    <col min="3" max="3" width="41.75" customWidth="1"/>
  </cols>
  <sheetData>
    <row r="1" spans="1:3">
      <c r="A1" s="3" t="s">
        <v>0</v>
      </c>
      <c r="B1" s="3" t="s">
        <v>1</v>
      </c>
      <c r="C1" s="3" t="s">
        <v>59</v>
      </c>
    </row>
    <row r="2" spans="1:3">
      <c r="A2" s="2" t="s">
        <v>60</v>
      </c>
      <c r="B2" t="s">
        <v>4</v>
      </c>
      <c r="C2" t="s">
        <v>61</v>
      </c>
    </row>
    <row r="3" spans="1:3">
      <c r="A3" s="2" t="s">
        <v>62</v>
      </c>
      <c r="B3" t="s">
        <v>63</v>
      </c>
      <c r="C3" t="s">
        <v>64</v>
      </c>
    </row>
    <row r="4" spans="1:3">
      <c r="A4" s="2" t="s">
        <v>65</v>
      </c>
      <c r="B4" t="s">
        <v>9</v>
      </c>
    </row>
    <row r="5" spans="1:3">
      <c r="A5" s="2" t="s">
        <v>66</v>
      </c>
      <c r="B5" t="s">
        <v>67</v>
      </c>
    </row>
    <row r="6" spans="1:3">
      <c r="A6" s="2" t="s">
        <v>68</v>
      </c>
      <c r="B6">
        <v>2</v>
      </c>
    </row>
    <row r="7" spans="1:3">
      <c r="A7" s="2" t="s">
        <v>69</v>
      </c>
      <c r="B7" t="s">
        <v>70</v>
      </c>
    </row>
    <row r="8" spans="1:3">
      <c r="A8" s="2" t="s">
        <v>71</v>
      </c>
      <c r="B8" t="s">
        <v>72</v>
      </c>
    </row>
    <row r="9" spans="1:3">
      <c r="A9" s="2" t="s">
        <v>73</v>
      </c>
      <c r="B9" t="s">
        <v>74</v>
      </c>
      <c r="C9" t="s">
        <v>75</v>
      </c>
    </row>
    <row r="10" spans="1:3">
      <c r="A10" s="2" t="s">
        <v>76</v>
      </c>
      <c r="B10" t="s">
        <v>77</v>
      </c>
      <c r="C10" t="s">
        <v>78</v>
      </c>
    </row>
    <row r="11" spans="1:3">
      <c r="A11" s="2" t="s">
        <v>79</v>
      </c>
      <c r="B11" t="s">
        <v>80</v>
      </c>
      <c r="C11" t="s">
        <v>81</v>
      </c>
    </row>
    <row r="12" spans="1:3">
      <c r="A12" s="2" t="s">
        <v>82</v>
      </c>
      <c r="B12" t="s">
        <v>83</v>
      </c>
    </row>
    <row r="13" spans="1:3">
      <c r="A13" s="2" t="s">
        <v>84</v>
      </c>
      <c r="B13" t="s">
        <v>85</v>
      </c>
      <c r="C13" t="s">
        <v>86</v>
      </c>
    </row>
    <row r="14" spans="1:3">
      <c r="A14" s="2" t="s">
        <v>87</v>
      </c>
      <c r="B14" t="s">
        <v>88</v>
      </c>
      <c r="C14" t="s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workbookViewId="0"/>
  </sheetViews>
  <sheetFormatPr defaultRowHeight="14"/>
  <cols>
    <col min="1" max="1" width="16" customWidth="1"/>
    <col min="2" max="2" width="9" customWidth="1"/>
    <col min="3" max="3" width="15.6640625" customWidth="1"/>
    <col min="4" max="4" width="14.4140625" customWidth="1"/>
    <col min="5" max="5" width="13.75" customWidth="1"/>
    <col min="6" max="6" width="16.9140625" customWidth="1"/>
    <col min="7" max="7" width="18.5" customWidth="1"/>
    <col min="8" max="8" width="21" customWidth="1"/>
    <col min="9" max="9" width="16" customWidth="1"/>
    <col min="10" max="10" width="17.6640625" customWidth="1"/>
    <col min="11" max="11" width="10.9140625" customWidth="1"/>
    <col min="12" max="12" width="20.9140625" customWidth="1"/>
    <col min="13" max="13" width="25.5" customWidth="1"/>
    <col min="14" max="14" width="55.1640625" customWidth="1"/>
  </cols>
  <sheetData>
    <row r="1" spans="1:14">
      <c r="A1" s="1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 t="s">
        <v>97</v>
      </c>
      <c r="I1" s="5" t="s">
        <v>98</v>
      </c>
      <c r="J1" s="5" t="s">
        <v>99</v>
      </c>
      <c r="K1" s="5" t="s">
        <v>100</v>
      </c>
      <c r="L1" s="5" t="s">
        <v>101</v>
      </c>
      <c r="M1" s="5" t="s">
        <v>102</v>
      </c>
      <c r="N1" s="1" t="s">
        <v>59</v>
      </c>
    </row>
    <row r="2" spans="1:14">
      <c r="A2" s="4" t="s">
        <v>103</v>
      </c>
      <c r="B2" s="4">
        <v>46</v>
      </c>
      <c r="C2" s="4">
        <v>2532</v>
      </c>
      <c r="D2" s="4">
        <v>58</v>
      </c>
      <c r="E2" s="4">
        <v>52</v>
      </c>
      <c r="F2" s="4">
        <v>366974</v>
      </c>
      <c r="G2" s="4">
        <v>366.97399999999999</v>
      </c>
      <c r="H2" s="4">
        <v>94.3</v>
      </c>
      <c r="I2" s="4">
        <v>820000</v>
      </c>
      <c r="J2" s="4">
        <v>212</v>
      </c>
      <c r="K2" s="4">
        <v>78</v>
      </c>
      <c r="L2" s="4">
        <v>3.35</v>
      </c>
      <c r="M2" s="4">
        <v>261.3</v>
      </c>
      <c r="N2" s="4" t="s">
        <v>104</v>
      </c>
    </row>
    <row r="3" spans="1:14">
      <c r="A3" s="4" t="s">
        <v>103</v>
      </c>
      <c r="B3" s="4">
        <v>42</v>
      </c>
      <c r="C3" s="4">
        <v>3401</v>
      </c>
      <c r="D3" s="4">
        <v>58</v>
      </c>
      <c r="E3" s="4">
        <v>49.9</v>
      </c>
      <c r="F3" s="4">
        <v>366974</v>
      </c>
      <c r="G3" s="4">
        <v>366.97399999999999</v>
      </c>
      <c r="H3" s="4">
        <v>94.7</v>
      </c>
      <c r="I3" s="4">
        <v>820000</v>
      </c>
      <c r="J3" s="4">
        <v>212</v>
      </c>
      <c r="K3" s="4">
        <v>78</v>
      </c>
      <c r="L3" s="4">
        <v>3.35</v>
      </c>
      <c r="M3" s="4">
        <v>261.3</v>
      </c>
      <c r="N3" s="4" t="s">
        <v>104</v>
      </c>
    </row>
    <row r="4" spans="1:14">
      <c r="A4" s="4" t="s">
        <v>103</v>
      </c>
      <c r="B4" s="4">
        <v>38.799999999999997</v>
      </c>
      <c r="C4" s="4">
        <v>4107</v>
      </c>
      <c r="D4" s="4">
        <v>58</v>
      </c>
      <c r="E4" s="4">
        <v>48.3</v>
      </c>
      <c r="F4" s="4">
        <v>366974</v>
      </c>
      <c r="G4" s="4">
        <v>366.97399999999999</v>
      </c>
      <c r="H4" s="4">
        <v>949</v>
      </c>
      <c r="I4" s="4">
        <v>820000</v>
      </c>
      <c r="J4" s="4">
        <v>212</v>
      </c>
      <c r="K4" s="4">
        <v>78</v>
      </c>
      <c r="L4" s="4">
        <v>3.35</v>
      </c>
      <c r="M4" s="4">
        <v>261.3</v>
      </c>
      <c r="N4" s="4" t="s">
        <v>105</v>
      </c>
    </row>
    <row r="5" spans="1:14">
      <c r="A5" s="4" t="s">
        <v>106</v>
      </c>
      <c r="B5" s="4">
        <v>44</v>
      </c>
      <c r="C5" s="4">
        <v>3065</v>
      </c>
      <c r="D5" s="4">
        <v>58</v>
      </c>
      <c r="E5" s="4">
        <v>52</v>
      </c>
      <c r="F5" s="4">
        <v>444332</v>
      </c>
      <c r="G5" s="4">
        <v>444.33199999999999</v>
      </c>
      <c r="H5" s="4">
        <v>110</v>
      </c>
      <c r="I5" s="4">
        <v>820000</v>
      </c>
      <c r="J5" s="4">
        <v>215</v>
      </c>
      <c r="K5" s="4">
        <v>78</v>
      </c>
      <c r="L5" s="4">
        <v>3.35</v>
      </c>
      <c r="M5" s="4">
        <v>261.3</v>
      </c>
      <c r="N5" s="4" t="s">
        <v>107</v>
      </c>
    </row>
    <row r="6" spans="1:14" ht="28">
      <c r="A6" s="4" t="s">
        <v>108</v>
      </c>
      <c r="B6" s="4">
        <v>33</v>
      </c>
      <c r="C6" s="4">
        <v>5315</v>
      </c>
      <c r="D6" s="4">
        <v>58</v>
      </c>
      <c r="E6" s="4">
        <v>45.51</v>
      </c>
      <c r="F6" s="4">
        <v>366974</v>
      </c>
      <c r="G6" s="4">
        <v>366.97399999999999</v>
      </c>
      <c r="H6" s="4"/>
      <c r="I6" s="4">
        <v>820000</v>
      </c>
      <c r="J6" s="4">
        <v>212</v>
      </c>
      <c r="K6" s="4">
        <v>78</v>
      </c>
      <c r="L6" s="4">
        <v>3.35</v>
      </c>
      <c r="M6" s="4">
        <v>261.3</v>
      </c>
      <c r="N6" s="4" t="s">
        <v>109</v>
      </c>
    </row>
    <row r="7" spans="1:14" ht="28">
      <c r="A7" s="4" t="s">
        <v>108</v>
      </c>
      <c r="B7" s="4">
        <v>34</v>
      </c>
      <c r="C7" s="4">
        <v>5102</v>
      </c>
      <c r="D7" s="4">
        <v>58</v>
      </c>
      <c r="E7" s="4">
        <v>46.01</v>
      </c>
      <c r="F7" s="4">
        <v>366974</v>
      </c>
      <c r="G7" s="4">
        <v>366.97399999999999</v>
      </c>
      <c r="H7" s="4"/>
      <c r="I7" s="4">
        <v>820000</v>
      </c>
      <c r="J7" s="4">
        <v>212</v>
      </c>
      <c r="K7" s="4">
        <v>78</v>
      </c>
      <c r="L7" s="4">
        <v>3.35</v>
      </c>
      <c r="M7" s="4">
        <v>261.3</v>
      </c>
      <c r="N7" s="4" t="s">
        <v>110</v>
      </c>
    </row>
    <row r="8" spans="1:14" ht="28">
      <c r="A8" s="4" t="s">
        <v>108</v>
      </c>
      <c r="B8" s="4">
        <v>35</v>
      </c>
      <c r="C8" s="4">
        <v>4890</v>
      </c>
      <c r="D8" s="4">
        <v>58</v>
      </c>
      <c r="E8" s="4">
        <v>46.51</v>
      </c>
      <c r="F8" s="4">
        <v>366974</v>
      </c>
      <c r="G8" s="4">
        <v>366.97399999999999</v>
      </c>
      <c r="H8" s="4"/>
      <c r="I8" s="4">
        <v>820000</v>
      </c>
      <c r="J8" s="4">
        <v>212</v>
      </c>
      <c r="K8" s="4">
        <v>78</v>
      </c>
      <c r="L8" s="4">
        <v>3.35</v>
      </c>
      <c r="M8" s="4">
        <v>261.3</v>
      </c>
      <c r="N8" s="4" t="s">
        <v>111</v>
      </c>
    </row>
    <row r="9" spans="1:14" ht="28">
      <c r="A9" s="4" t="s">
        <v>108</v>
      </c>
      <c r="B9" s="4">
        <v>36</v>
      </c>
      <c r="C9" s="4">
        <v>4677</v>
      </c>
      <c r="D9" s="4">
        <v>58</v>
      </c>
      <c r="E9" s="4">
        <v>47.01</v>
      </c>
      <c r="F9" s="4">
        <v>366974</v>
      </c>
      <c r="G9" s="4">
        <v>366.97399999999999</v>
      </c>
      <c r="H9" s="4"/>
      <c r="I9" s="4">
        <v>820000</v>
      </c>
      <c r="J9" s="4">
        <v>212</v>
      </c>
      <c r="K9" s="4">
        <v>78</v>
      </c>
      <c r="L9" s="4">
        <v>3.35</v>
      </c>
      <c r="M9" s="4">
        <v>261.3</v>
      </c>
      <c r="N9" s="4" t="s">
        <v>112</v>
      </c>
    </row>
    <row r="10" spans="1:14" ht="28">
      <c r="A10" s="4" t="s">
        <v>108</v>
      </c>
      <c r="B10" s="4">
        <v>37</v>
      </c>
      <c r="C10" s="4">
        <v>4465</v>
      </c>
      <c r="D10" s="4">
        <v>58</v>
      </c>
      <c r="E10" s="4">
        <v>47.51</v>
      </c>
      <c r="F10" s="4">
        <v>366974</v>
      </c>
      <c r="G10" s="4">
        <v>366.97399999999999</v>
      </c>
      <c r="H10" s="4"/>
      <c r="I10" s="4">
        <v>820000</v>
      </c>
      <c r="J10" s="4">
        <v>212</v>
      </c>
      <c r="K10" s="4">
        <v>78</v>
      </c>
      <c r="L10" s="4">
        <v>3.35</v>
      </c>
      <c r="M10" s="4">
        <v>261.3</v>
      </c>
      <c r="N10" s="4" t="s">
        <v>113</v>
      </c>
    </row>
    <row r="11" spans="1:14" ht="28">
      <c r="A11" s="4" t="s">
        <v>108</v>
      </c>
      <c r="B11" s="4">
        <v>38</v>
      </c>
      <c r="C11" s="4">
        <v>4252</v>
      </c>
      <c r="D11" s="4">
        <v>58</v>
      </c>
      <c r="E11" s="4">
        <v>48.01</v>
      </c>
      <c r="F11" s="4">
        <v>366974</v>
      </c>
      <c r="G11" s="4">
        <v>366.97399999999999</v>
      </c>
      <c r="H11" s="4"/>
      <c r="I11" s="4">
        <v>820000</v>
      </c>
      <c r="J11" s="4">
        <v>212</v>
      </c>
      <c r="K11" s="4">
        <v>78</v>
      </c>
      <c r="L11" s="4">
        <v>3.35</v>
      </c>
      <c r="M11" s="4">
        <v>261.3</v>
      </c>
      <c r="N11" s="4" t="s">
        <v>114</v>
      </c>
    </row>
    <row r="12" spans="1:14" ht="28">
      <c r="A12" s="4" t="s">
        <v>108</v>
      </c>
      <c r="B12" s="4">
        <v>39</v>
      </c>
      <c r="C12" s="4">
        <v>4039</v>
      </c>
      <c r="D12" s="4">
        <v>58</v>
      </c>
      <c r="E12" s="4">
        <v>48.5</v>
      </c>
      <c r="F12" s="4">
        <v>366974</v>
      </c>
      <c r="G12" s="4">
        <v>366.97399999999999</v>
      </c>
      <c r="H12" s="4"/>
      <c r="I12" s="4">
        <v>820000</v>
      </c>
      <c r="J12" s="4">
        <v>212</v>
      </c>
      <c r="K12" s="4">
        <v>78</v>
      </c>
      <c r="L12" s="4">
        <v>3.35</v>
      </c>
      <c r="M12" s="4">
        <v>261.3</v>
      </c>
      <c r="N12" s="4" t="s">
        <v>115</v>
      </c>
    </row>
    <row r="13" spans="1:14" ht="28">
      <c r="A13" s="4" t="s">
        <v>108</v>
      </c>
      <c r="B13" s="4">
        <v>40</v>
      </c>
      <c r="C13" s="4">
        <v>3827</v>
      </c>
      <c r="D13" s="4">
        <v>58</v>
      </c>
      <c r="E13" s="4">
        <v>49</v>
      </c>
      <c r="F13" s="4">
        <v>366974</v>
      </c>
      <c r="G13" s="4">
        <v>366.97399999999999</v>
      </c>
      <c r="H13" s="4"/>
      <c r="I13" s="4">
        <v>820000</v>
      </c>
      <c r="J13" s="4">
        <v>212</v>
      </c>
      <c r="K13" s="4">
        <v>78</v>
      </c>
      <c r="L13" s="4">
        <v>3.35</v>
      </c>
      <c r="M13" s="4">
        <v>261.3</v>
      </c>
      <c r="N13" s="4" t="s">
        <v>116</v>
      </c>
    </row>
    <row r="14" spans="1:14" ht="28">
      <c r="A14" s="4" t="s">
        <v>108</v>
      </c>
      <c r="B14" s="4">
        <v>41</v>
      </c>
      <c r="C14" s="4">
        <v>3614</v>
      </c>
      <c r="D14" s="4">
        <v>58</v>
      </c>
      <c r="E14" s="4">
        <v>49.5</v>
      </c>
      <c r="F14" s="4">
        <v>366974</v>
      </c>
      <c r="G14" s="4">
        <v>366.97399999999999</v>
      </c>
      <c r="H14" s="4"/>
      <c r="I14" s="4">
        <v>820000</v>
      </c>
      <c r="J14" s="4">
        <v>212</v>
      </c>
      <c r="K14" s="4">
        <v>78</v>
      </c>
      <c r="L14" s="4">
        <v>3.35</v>
      </c>
      <c r="M14" s="4">
        <v>261.3</v>
      </c>
      <c r="N14" s="4" t="s">
        <v>117</v>
      </c>
    </row>
    <row r="15" spans="1:14" ht="28">
      <c r="A15" s="4" t="s">
        <v>108</v>
      </c>
      <c r="B15" s="4">
        <v>42</v>
      </c>
      <c r="C15" s="4">
        <v>3402</v>
      </c>
      <c r="D15" s="4">
        <v>58</v>
      </c>
      <c r="E15" s="4">
        <v>50</v>
      </c>
      <c r="F15" s="4">
        <v>366974</v>
      </c>
      <c r="G15" s="4">
        <v>366.97399999999999</v>
      </c>
      <c r="H15" s="4"/>
      <c r="I15" s="4">
        <v>820000</v>
      </c>
      <c r="J15" s="4">
        <v>212</v>
      </c>
      <c r="K15" s="4">
        <v>78</v>
      </c>
      <c r="L15" s="4">
        <v>3.35</v>
      </c>
      <c r="M15" s="4">
        <v>261.3</v>
      </c>
      <c r="N15" s="4" t="s">
        <v>118</v>
      </c>
    </row>
    <row r="16" spans="1:14" ht="28">
      <c r="A16" s="4" t="s">
        <v>108</v>
      </c>
      <c r="B16" s="4">
        <v>43</v>
      </c>
      <c r="C16" s="4">
        <v>3189</v>
      </c>
      <c r="D16" s="4">
        <v>58</v>
      </c>
      <c r="E16" s="4">
        <v>50.51</v>
      </c>
      <c r="F16" s="4">
        <v>366974</v>
      </c>
      <c r="G16" s="4">
        <v>366.97399999999999</v>
      </c>
      <c r="H16" s="4"/>
      <c r="I16" s="4">
        <v>820000</v>
      </c>
      <c r="J16" s="4">
        <v>212</v>
      </c>
      <c r="K16" s="4">
        <v>78</v>
      </c>
      <c r="L16" s="4">
        <v>3.35</v>
      </c>
      <c r="M16" s="4">
        <v>261.3</v>
      </c>
      <c r="N16" s="4" t="s">
        <v>119</v>
      </c>
    </row>
    <row r="17" spans="1:14" ht="28">
      <c r="A17" s="4" t="s">
        <v>108</v>
      </c>
      <c r="B17" s="4">
        <v>44</v>
      </c>
      <c r="C17" s="4">
        <v>2976</v>
      </c>
      <c r="D17" s="4">
        <v>58</v>
      </c>
      <c r="E17" s="4">
        <v>51</v>
      </c>
      <c r="F17" s="4">
        <v>366974</v>
      </c>
      <c r="G17" s="4">
        <v>366.97399999999999</v>
      </c>
      <c r="H17" s="4"/>
      <c r="I17" s="4">
        <v>820000</v>
      </c>
      <c r="J17" s="4">
        <v>212</v>
      </c>
      <c r="K17" s="4">
        <v>78</v>
      </c>
      <c r="L17" s="4">
        <v>3.35</v>
      </c>
      <c r="M17" s="4">
        <v>261.3</v>
      </c>
      <c r="N17" s="4" t="s">
        <v>120</v>
      </c>
    </row>
    <row r="18" spans="1:14" ht="28">
      <c r="A18" s="4" t="s">
        <v>108</v>
      </c>
      <c r="B18" s="4">
        <v>45</v>
      </c>
      <c r="C18" s="4">
        <v>2764</v>
      </c>
      <c r="D18" s="4">
        <v>58</v>
      </c>
      <c r="E18" s="4">
        <v>51.5</v>
      </c>
      <c r="F18" s="4">
        <v>366974</v>
      </c>
      <c r="G18" s="4">
        <v>366.97399999999999</v>
      </c>
      <c r="H18" s="4"/>
      <c r="I18" s="4">
        <v>820000</v>
      </c>
      <c r="J18" s="4">
        <v>212</v>
      </c>
      <c r="K18" s="4">
        <v>78</v>
      </c>
      <c r="L18" s="4">
        <v>3.35</v>
      </c>
      <c r="M18" s="4">
        <v>261.3</v>
      </c>
      <c r="N18" s="4" t="s">
        <v>121</v>
      </c>
    </row>
    <row r="19" spans="1:14" ht="28">
      <c r="A19" s="4" t="s">
        <v>108</v>
      </c>
      <c r="B19" s="4">
        <v>46</v>
      </c>
      <c r="C19" s="4">
        <v>2551</v>
      </c>
      <c r="D19" s="4">
        <v>58</v>
      </c>
      <c r="E19" s="4">
        <v>52</v>
      </c>
      <c r="F19" s="4">
        <v>366974</v>
      </c>
      <c r="G19" s="4">
        <v>366.97399999999999</v>
      </c>
      <c r="H19" s="4"/>
      <c r="I19" s="4">
        <v>820000</v>
      </c>
      <c r="J19" s="4">
        <v>212</v>
      </c>
      <c r="K19" s="4">
        <v>78</v>
      </c>
      <c r="L19" s="4">
        <v>3.35</v>
      </c>
      <c r="M19" s="4">
        <v>261.3</v>
      </c>
      <c r="N19" s="4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workbookViewId="0"/>
  </sheetViews>
  <sheetFormatPr defaultRowHeight="14"/>
  <cols>
    <col min="1" max="1" width="10.4140625" customWidth="1"/>
    <col min="2" max="2" width="16.9140625" customWidth="1"/>
    <col min="3" max="3" width="23" customWidth="1"/>
    <col min="4" max="4" width="14.4140625" customWidth="1"/>
    <col min="5" max="5" width="13.75" customWidth="1"/>
    <col min="6" max="6" width="16.9140625" customWidth="1"/>
    <col min="7" max="7" width="18.5" customWidth="1"/>
    <col min="8" max="8" width="7.4140625" customWidth="1"/>
    <col min="9" max="9" width="20.9140625" customWidth="1"/>
    <col min="10" max="10" width="20.25" customWidth="1"/>
    <col min="11" max="11" width="16" customWidth="1"/>
    <col min="12" max="12" width="16.9140625" customWidth="1"/>
  </cols>
  <sheetData>
    <row r="1" spans="1:12" ht="28">
      <c r="A1" s="3" t="s">
        <v>123</v>
      </c>
      <c r="B1" s="6" t="s">
        <v>124</v>
      </c>
      <c r="C1" s="6" t="s">
        <v>125</v>
      </c>
      <c r="D1" s="6" t="s">
        <v>93</v>
      </c>
      <c r="E1" s="6" t="s">
        <v>94</v>
      </c>
      <c r="F1" s="6" t="s">
        <v>95</v>
      </c>
      <c r="G1" s="6" t="s">
        <v>96</v>
      </c>
      <c r="H1" s="6" t="s">
        <v>126</v>
      </c>
      <c r="I1" s="6" t="s">
        <v>127</v>
      </c>
      <c r="J1" s="3" t="s">
        <v>128</v>
      </c>
      <c r="K1" s="3" t="s">
        <v>90</v>
      </c>
      <c r="L1" s="3" t="s">
        <v>129</v>
      </c>
    </row>
    <row r="2" spans="1:12">
      <c r="A2" t="s">
        <v>130</v>
      </c>
      <c r="B2">
        <v>33</v>
      </c>
      <c r="C2">
        <v>5315</v>
      </c>
      <c r="D2">
        <v>58</v>
      </c>
      <c r="E2">
        <v>45.51</v>
      </c>
      <c r="F2">
        <v>366974</v>
      </c>
      <c r="G2">
        <v>366.97399999999999</v>
      </c>
      <c r="H2">
        <v>12.49</v>
      </c>
      <c r="I2">
        <v>261.3</v>
      </c>
      <c r="J2" t="s">
        <v>131</v>
      </c>
      <c r="K2" t="s">
        <v>108</v>
      </c>
      <c r="L2" t="s">
        <v>132</v>
      </c>
    </row>
    <row r="3" spans="1:12">
      <c r="A3" t="s">
        <v>130</v>
      </c>
      <c r="B3">
        <v>34</v>
      </c>
      <c r="C3">
        <v>5102</v>
      </c>
      <c r="D3">
        <v>58</v>
      </c>
      <c r="E3">
        <v>46.01</v>
      </c>
      <c r="F3">
        <v>366974</v>
      </c>
      <c r="G3">
        <v>366.97399999999999</v>
      </c>
      <c r="H3">
        <v>11.99</v>
      </c>
      <c r="I3">
        <v>261.3</v>
      </c>
      <c r="J3" t="s">
        <v>131</v>
      </c>
      <c r="K3" t="s">
        <v>108</v>
      </c>
      <c r="L3" t="s">
        <v>132</v>
      </c>
    </row>
    <row r="4" spans="1:12">
      <c r="A4" t="s">
        <v>130</v>
      </c>
      <c r="B4">
        <v>35</v>
      </c>
      <c r="C4">
        <v>4890</v>
      </c>
      <c r="D4">
        <v>58</v>
      </c>
      <c r="E4">
        <v>46.51</v>
      </c>
      <c r="F4">
        <v>366974</v>
      </c>
      <c r="G4">
        <v>366.97399999999999</v>
      </c>
      <c r="H4">
        <v>11.49</v>
      </c>
      <c r="I4">
        <v>261.3</v>
      </c>
      <c r="J4" t="s">
        <v>131</v>
      </c>
      <c r="K4" t="s">
        <v>108</v>
      </c>
      <c r="L4" t="s">
        <v>132</v>
      </c>
    </row>
    <row r="5" spans="1:12">
      <c r="A5" t="s">
        <v>130</v>
      </c>
      <c r="B5">
        <v>36</v>
      </c>
      <c r="C5">
        <v>4677</v>
      </c>
      <c r="D5">
        <v>58</v>
      </c>
      <c r="E5">
        <v>47.01</v>
      </c>
      <c r="F5">
        <v>366974</v>
      </c>
      <c r="G5">
        <v>366.97399999999999</v>
      </c>
      <c r="H5">
        <v>10.99</v>
      </c>
      <c r="I5">
        <v>261.3</v>
      </c>
      <c r="J5" t="s">
        <v>131</v>
      </c>
      <c r="K5" t="s">
        <v>108</v>
      </c>
      <c r="L5" t="s">
        <v>132</v>
      </c>
    </row>
    <row r="6" spans="1:12">
      <c r="A6" t="s">
        <v>130</v>
      </c>
      <c r="B6">
        <v>37</v>
      </c>
      <c r="C6">
        <v>4465</v>
      </c>
      <c r="D6">
        <v>58</v>
      </c>
      <c r="E6">
        <v>47.51</v>
      </c>
      <c r="F6">
        <v>366974</v>
      </c>
      <c r="G6">
        <v>366.97399999999999</v>
      </c>
      <c r="H6">
        <v>10.49</v>
      </c>
      <c r="I6">
        <v>261.3</v>
      </c>
      <c r="J6" t="s">
        <v>131</v>
      </c>
      <c r="K6" t="s">
        <v>108</v>
      </c>
      <c r="L6" t="s">
        <v>132</v>
      </c>
    </row>
    <row r="7" spans="1:12">
      <c r="A7" t="s">
        <v>130</v>
      </c>
      <c r="B7">
        <v>38</v>
      </c>
      <c r="C7">
        <v>4252</v>
      </c>
      <c r="D7">
        <v>58</v>
      </c>
      <c r="E7">
        <v>48.01</v>
      </c>
      <c r="F7">
        <v>366974</v>
      </c>
      <c r="G7">
        <v>366.97399999999999</v>
      </c>
      <c r="H7">
        <v>9.99</v>
      </c>
      <c r="I7">
        <v>261.3</v>
      </c>
      <c r="J7" t="s">
        <v>131</v>
      </c>
      <c r="K7" t="s">
        <v>108</v>
      </c>
      <c r="L7" t="s">
        <v>132</v>
      </c>
    </row>
    <row r="8" spans="1:12">
      <c r="A8" t="s">
        <v>130</v>
      </c>
      <c r="B8">
        <v>39</v>
      </c>
      <c r="C8">
        <v>4039</v>
      </c>
      <c r="D8">
        <v>58</v>
      </c>
      <c r="E8">
        <v>48.5</v>
      </c>
      <c r="F8">
        <v>366974</v>
      </c>
      <c r="G8">
        <v>366.97399999999999</v>
      </c>
      <c r="H8">
        <v>9.5</v>
      </c>
      <c r="I8">
        <v>261.3</v>
      </c>
      <c r="J8" t="s">
        <v>131</v>
      </c>
      <c r="K8" t="s">
        <v>108</v>
      </c>
      <c r="L8" t="s">
        <v>132</v>
      </c>
    </row>
    <row r="9" spans="1:12">
      <c r="A9" t="s">
        <v>130</v>
      </c>
      <c r="B9">
        <v>40</v>
      </c>
      <c r="C9">
        <v>3827</v>
      </c>
      <c r="D9">
        <v>58</v>
      </c>
      <c r="E9">
        <v>49</v>
      </c>
      <c r="F9">
        <v>366974</v>
      </c>
      <c r="G9">
        <v>366.97399999999999</v>
      </c>
      <c r="H9">
        <v>9</v>
      </c>
      <c r="I9">
        <v>261.3</v>
      </c>
      <c r="J9" t="s">
        <v>131</v>
      </c>
      <c r="K9" t="s">
        <v>108</v>
      </c>
      <c r="L9" t="s">
        <v>132</v>
      </c>
    </row>
    <row r="10" spans="1:12">
      <c r="A10" t="s">
        <v>130</v>
      </c>
      <c r="B10">
        <v>41</v>
      </c>
      <c r="C10">
        <v>3614</v>
      </c>
      <c r="D10">
        <v>58</v>
      </c>
      <c r="E10">
        <v>49.5</v>
      </c>
      <c r="F10">
        <v>366974</v>
      </c>
      <c r="G10">
        <v>366.97399999999999</v>
      </c>
      <c r="H10">
        <v>8.5</v>
      </c>
      <c r="I10">
        <v>261.3</v>
      </c>
      <c r="J10" t="s">
        <v>131</v>
      </c>
      <c r="K10" t="s">
        <v>108</v>
      </c>
      <c r="L10" t="s">
        <v>132</v>
      </c>
    </row>
    <row r="11" spans="1:12">
      <c r="A11" t="s">
        <v>130</v>
      </c>
      <c r="B11">
        <v>42</v>
      </c>
      <c r="C11">
        <v>3402</v>
      </c>
      <c r="D11">
        <v>58</v>
      </c>
      <c r="E11">
        <v>50</v>
      </c>
      <c r="F11">
        <v>366974</v>
      </c>
      <c r="G11">
        <v>366.97399999999999</v>
      </c>
      <c r="H11">
        <v>8</v>
      </c>
      <c r="I11">
        <v>261.3</v>
      </c>
      <c r="J11" t="s">
        <v>131</v>
      </c>
      <c r="K11" t="s">
        <v>108</v>
      </c>
      <c r="L11" t="s">
        <v>132</v>
      </c>
    </row>
    <row r="12" spans="1:12">
      <c r="A12" t="s">
        <v>130</v>
      </c>
      <c r="B12">
        <v>43</v>
      </c>
      <c r="C12">
        <v>3189</v>
      </c>
      <c r="D12">
        <v>58</v>
      </c>
      <c r="E12">
        <v>50.51</v>
      </c>
      <c r="F12">
        <v>366974</v>
      </c>
      <c r="G12">
        <v>366.97399999999999</v>
      </c>
      <c r="H12">
        <v>7.49</v>
      </c>
      <c r="I12">
        <v>261.3</v>
      </c>
      <c r="J12" t="s">
        <v>131</v>
      </c>
      <c r="K12" t="s">
        <v>108</v>
      </c>
      <c r="L12" t="s">
        <v>132</v>
      </c>
    </row>
    <row r="13" spans="1:12">
      <c r="A13" t="s">
        <v>130</v>
      </c>
      <c r="B13">
        <v>44</v>
      </c>
      <c r="C13">
        <v>2976</v>
      </c>
      <c r="D13">
        <v>58</v>
      </c>
      <c r="E13">
        <v>51</v>
      </c>
      <c r="F13">
        <v>366974</v>
      </c>
      <c r="G13">
        <v>366.97399999999999</v>
      </c>
      <c r="H13">
        <v>7</v>
      </c>
      <c r="I13">
        <v>261.3</v>
      </c>
      <c r="J13" t="s">
        <v>131</v>
      </c>
      <c r="K13" t="s">
        <v>108</v>
      </c>
      <c r="L13" t="s">
        <v>132</v>
      </c>
    </row>
    <row r="14" spans="1:12">
      <c r="A14" t="s">
        <v>130</v>
      </c>
      <c r="B14">
        <v>45</v>
      </c>
      <c r="C14">
        <v>2764</v>
      </c>
      <c r="D14">
        <v>58</v>
      </c>
      <c r="E14">
        <v>51.5</v>
      </c>
      <c r="F14">
        <v>366974</v>
      </c>
      <c r="G14">
        <v>366.97399999999999</v>
      </c>
      <c r="H14">
        <v>6.5</v>
      </c>
      <c r="I14">
        <v>261.3</v>
      </c>
      <c r="J14" t="s">
        <v>131</v>
      </c>
      <c r="K14" t="s">
        <v>108</v>
      </c>
      <c r="L14" t="s">
        <v>132</v>
      </c>
    </row>
    <row r="15" spans="1:12">
      <c r="A15" t="s">
        <v>130</v>
      </c>
      <c r="B15">
        <v>46</v>
      </c>
      <c r="C15">
        <v>2551</v>
      </c>
      <c r="D15">
        <v>58</v>
      </c>
      <c r="E15">
        <v>52</v>
      </c>
      <c r="F15">
        <v>366974</v>
      </c>
      <c r="G15">
        <v>366.97399999999999</v>
      </c>
      <c r="H15">
        <v>6</v>
      </c>
      <c r="I15">
        <v>261.3</v>
      </c>
      <c r="J15" t="s">
        <v>131</v>
      </c>
      <c r="K15" t="s">
        <v>108</v>
      </c>
      <c r="L15" t="s">
        <v>132</v>
      </c>
    </row>
    <row r="16" spans="1:12">
      <c r="A16" t="s">
        <v>133</v>
      </c>
      <c r="B16">
        <v>44</v>
      </c>
      <c r="C16">
        <v>3065</v>
      </c>
      <c r="D16">
        <v>58</v>
      </c>
      <c r="E16">
        <v>52</v>
      </c>
      <c r="F16">
        <v>444332</v>
      </c>
      <c r="G16">
        <v>444.33199999999999</v>
      </c>
      <c r="H16">
        <v>6</v>
      </c>
      <c r="I16">
        <v>261.3</v>
      </c>
      <c r="J16" t="s">
        <v>131</v>
      </c>
      <c r="K16" t="s">
        <v>106</v>
      </c>
      <c r="L16" t="s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tabSelected="1" workbookViewId="0"/>
  </sheetViews>
  <sheetFormatPr defaultRowHeight="14"/>
  <cols>
    <col min="1" max="1" width="27.25" customWidth="1"/>
    <col min="2" max="2" width="8.1640625" customWidth="1"/>
    <col min="3" max="3" width="69.75" customWidth="1"/>
  </cols>
  <sheetData>
    <row r="1" spans="1:3">
      <c r="A1" s="3" t="s">
        <v>135</v>
      </c>
      <c r="B1" s="3" t="s">
        <v>136</v>
      </c>
      <c r="C1" s="3" t="s">
        <v>59</v>
      </c>
    </row>
    <row r="2" spans="1:3">
      <c r="A2" s="2" t="s">
        <v>3</v>
      </c>
      <c r="B2" t="s">
        <v>137</v>
      </c>
      <c r="C2" t="s">
        <v>4</v>
      </c>
    </row>
    <row r="3" spans="1:3">
      <c r="A3" s="2" t="s">
        <v>138</v>
      </c>
      <c r="B3" t="s">
        <v>137</v>
      </c>
    </row>
    <row r="4" spans="1:3">
      <c r="A4" s="2" t="s">
        <v>139</v>
      </c>
      <c r="B4" t="s">
        <v>137</v>
      </c>
    </row>
    <row r="5" spans="1:3">
      <c r="A5" s="2" t="s">
        <v>140</v>
      </c>
      <c r="B5" t="s">
        <v>137</v>
      </c>
      <c r="C5" t="s">
        <v>141</v>
      </c>
    </row>
    <row r="6" spans="1:3">
      <c r="A6" s="2" t="s">
        <v>142</v>
      </c>
      <c r="B6" t="s">
        <v>137</v>
      </c>
      <c r="C6" t="s">
        <v>143</v>
      </c>
    </row>
    <row r="7" spans="1:3">
      <c r="A7" s="2" t="s">
        <v>144</v>
      </c>
      <c r="B7" t="s">
        <v>145</v>
      </c>
      <c r="C7" t="s">
        <v>146</v>
      </c>
    </row>
    <row r="8" spans="1:3">
      <c r="A8" s="2" t="s">
        <v>147</v>
      </c>
      <c r="B8" t="s">
        <v>145</v>
      </c>
      <c r="C8" t="s">
        <v>148</v>
      </c>
    </row>
    <row r="9" spans="1:3">
      <c r="A9" s="2" t="s">
        <v>149</v>
      </c>
      <c r="B9" t="s">
        <v>137</v>
      </c>
      <c r="C9" t="s">
        <v>150</v>
      </c>
    </row>
    <row r="10" spans="1:3">
      <c r="A10" s="2" t="s">
        <v>151</v>
      </c>
      <c r="B10" t="s">
        <v>152</v>
      </c>
      <c r="C10" t="s">
        <v>153</v>
      </c>
    </row>
    <row r="11" spans="1:3">
      <c r="A11" s="2" t="s">
        <v>154</v>
      </c>
      <c r="B11" t="s">
        <v>137</v>
      </c>
      <c r="C11" t="s">
        <v>155</v>
      </c>
    </row>
    <row r="12" spans="1:3">
      <c r="A12" s="2" t="s">
        <v>52</v>
      </c>
      <c r="B12" t="s">
        <v>156</v>
      </c>
      <c r="C12" t="s">
        <v>157</v>
      </c>
    </row>
    <row r="13" spans="1:3">
      <c r="A13" s="2" t="s">
        <v>158</v>
      </c>
      <c r="B13" t="s">
        <v>159</v>
      </c>
      <c r="C13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Information</vt:lpstr>
      <vt:lpstr>Metadata</vt:lpstr>
      <vt:lpstr>Performance_Map</vt:lpstr>
      <vt:lpstr>Solver_Curve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Luo</dc:creator>
  <cp:lastModifiedBy>Ariel Luo</cp:lastModifiedBy>
  <dcterms:created xsi:type="dcterms:W3CDTF">2026-06-30T08:20:57Z</dcterms:created>
  <dcterms:modified xsi:type="dcterms:W3CDTF">2026-06-30T08:20:57Z</dcterms:modified>
</cp:coreProperties>
</file>